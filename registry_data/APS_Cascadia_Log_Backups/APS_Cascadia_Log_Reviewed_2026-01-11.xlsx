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rthurewarmoth/Downloads/"/>
    </mc:Choice>
  </mc:AlternateContent>
  <xr:revisionPtr revIDLastSave="0" documentId="13_ncr:1_{6F96A2A2-747A-0F42-9CCC-85E287DBF5DD}" xr6:coauthVersionLast="47" xr6:coauthVersionMax="47" xr10:uidLastSave="{00000000-0000-0000-0000-000000000000}"/>
  <bookViews>
    <workbookView xWindow="0" yWindow="620" windowWidth="28800" windowHeight="15720" xr2:uid="{00000000-000D-0000-FFFF-FFFF00000000}"/>
  </bookViews>
  <sheets>
    <sheet name="Sheet1" sheetId="1" r:id="rId1"/>
    <sheet name="PUBLIC_VIEW"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 l="1"/>
  <c r="C10" i="2"/>
  <c r="B10" i="2"/>
  <c r="A10" i="2"/>
  <c r="D9" i="2"/>
  <c r="C9" i="2"/>
  <c r="B9" i="2"/>
  <c r="A9" i="2"/>
  <c r="D8" i="2"/>
  <c r="C8" i="2"/>
  <c r="B8" i="2"/>
  <c r="A8" i="2"/>
  <c r="D7" i="2"/>
  <c r="C7" i="2"/>
  <c r="B7" i="2"/>
  <c r="A7" i="2"/>
  <c r="D6" i="2"/>
  <c r="C6" i="2"/>
  <c r="B6" i="2"/>
  <c r="A6" i="2"/>
  <c r="D5" i="2"/>
  <c r="C5" i="2"/>
  <c r="B5" i="2"/>
  <c r="A5" i="2"/>
  <c r="D4" i="2"/>
  <c r="C4" i="2"/>
  <c r="B4" i="2"/>
  <c r="A4" i="2"/>
  <c r="C3" i="2"/>
  <c r="B3" i="2"/>
  <c r="A3" i="2"/>
  <c r="D2" i="2"/>
  <c r="C2" i="2"/>
  <c r="B2" i="2"/>
  <c r="A2" i="2"/>
  <c r="D1" i="2"/>
  <c r="C1" i="2"/>
  <c r="B1" i="2"/>
  <c r="A1" i="2"/>
</calcChain>
</file>

<file path=xl/sharedStrings.xml><?xml version="1.0" encoding="utf-8"?>
<sst xmlns="http://schemas.openxmlformats.org/spreadsheetml/2006/main" count="182" uniqueCount="118">
  <si>
    <t>timestamp</t>
  </si>
  <si>
    <t>log_id</t>
  </si>
  <si>
    <t>engagement_status</t>
  </si>
  <si>
    <t>age_group</t>
  </si>
  <si>
    <t>gender</t>
  </si>
  <si>
    <t>occupation</t>
  </si>
  <si>
    <t>cultural_bg</t>
  </si>
  <si>
    <t>location_state</t>
  </si>
  <si>
    <t>location_specific</t>
  </si>
  <si>
    <t>witness_status</t>
  </si>
  <si>
    <t>phenom_silence</t>
  </si>
  <si>
    <t>phenom_hum</t>
  </si>
  <si>
    <t>phenom_time</t>
  </si>
  <si>
    <t>phenom_nausea</t>
  </si>
  <si>
    <t>phenom_paralysis</t>
  </si>
  <si>
    <t>phenom_tech</t>
  </si>
  <si>
    <t>phenom_ozone</t>
  </si>
  <si>
    <t>phenom_fear</t>
  </si>
  <si>
    <t>narrative</t>
  </si>
  <si>
    <t>attribution</t>
  </si>
  <si>
    <t>contact_info</t>
  </si>
  <si>
    <t>permission_level</t>
  </si>
  <si>
    <t>analyst_notes</t>
  </si>
  <si>
    <t>res_id</t>
  </si>
  <si>
    <t>class_code</t>
  </si>
  <si>
    <t>setting_type</t>
  </si>
  <si>
    <t>env_weather</t>
  </si>
  <si>
    <t>env_noise</t>
  </si>
  <si>
    <t>obs_demeanor</t>
  </si>
  <si>
    <t>obs_delivery</t>
  </si>
  <si>
    <t>CASE-47528</t>
  </si>
  <si>
    <t>VERIFIED_WEB</t>
  </si>
  <si>
    <t>26-35</t>
  </si>
  <si>
    <t>Female</t>
  </si>
  <si>
    <t>Physical Therapy</t>
  </si>
  <si>
    <t>Atheist</t>
  </si>
  <si>
    <t>WA</t>
  </si>
  <si>
    <t>The Brick Saloon in Roslyn WA, basement</t>
  </si>
  <si>
    <t>WITNESS_1</t>
  </si>
  <si>
    <t>YES</t>
  </si>
  <si>
    <t xml:space="preserve">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t>
  </si>
  <si>
    <t>Other than referring to it as my "phantom mirror" experience, I really don't have any solid theories. The building itself was established in 1889 and is said to be Washington's oldest continuously operating bar (as per their website). Some sources mention a tunnel in the basement used to move alcohol during Prohibition. Only one of the cells are original, and a couple others were added to film "The Runner Stumbles" in 1979. The bar was also featured in the show Northern Exposure. Roslyn was historically a coal mining and logging town, so the jail in the basement likely saw quite a few people in its life. All that to say, the building itself is notable for many reasons but not for any that I could use to explain a "phantom mirror".</t>
  </si>
  <si>
    <t>katieb.50@gmail.com</t>
  </si>
  <si>
    <t>PUBLISH_ANON</t>
  </si>
  <si>
    <t>TYPE_I</t>
  </si>
  <si>
    <t>CASE-75731</t>
  </si>
  <si>
    <t>Chemistry</t>
  </si>
  <si>
    <t>Materialist athiest</t>
  </si>
  <si>
    <t>ALONE</t>
  </si>
  <si>
    <t>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t>
  </si>
  <si>
    <t>Sometimes when driving a route you drive all the time, you kinda zone out and don't really form memories, so I figured I misremembered. Also, it was dark and I was a little tired, which I considered as contributing factors. Maybe I even made a wrong turn and was lucky enough to get back on it and not realize.</t>
  </si>
  <si>
    <t>pugetdrowned67@gmail.com</t>
  </si>
  <si>
    <t>CASE-96915</t>
  </si>
  <si>
    <t>18-25</t>
  </si>
  <si>
    <t>Seattle-ish</t>
  </si>
  <si>
    <t xml:space="preserve">Time stopped but music blared. When the song ended and the next began, time resumed. Inbetween was chaos and the other side was normality yet again as if nothing at all had happened.  </t>
  </si>
  <si>
    <t xml:space="preserve">I caused it? Who knows. This is pointless. </t>
  </si>
  <si>
    <t>SKPETICAL</t>
  </si>
  <si>
    <t>FRAGMENTED</t>
  </si>
  <si>
    <t>CASE-46678</t>
  </si>
  <si>
    <t>M</t>
  </si>
  <si>
    <t>Duckabush River trail</t>
  </si>
  <si>
    <t xml:space="preserve">Brief humming/grunt sounds "hmm" "hmm" </t>
  </si>
  <si>
    <t>I think it is not paranormal, just some animal. But like what?? A bird? A bear? Someone please tell me what could do this. We heard it several times a day over a few days along the ~17 mile trail</t>
  </si>
  <si>
    <t>TYPE_II</t>
  </si>
  <si>
    <t>NAT</t>
  </si>
  <si>
    <t>CASE-46732</t>
  </si>
  <si>
    <t>46-55</t>
  </si>
  <si>
    <t>Male</t>
  </si>
  <si>
    <t>Writer</t>
  </si>
  <si>
    <t>Central District Seattle</t>
  </si>
  <si>
    <t>UNCERTAIN</t>
  </si>
  <si>
    <t>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t>
  </si>
  <si>
    <t>It feels like I’m living another life in another dimension. In a dream world</t>
  </si>
  <si>
    <t>dj_dedalus@yahoo.com</t>
  </si>
  <si>
    <t>TYPE_IV</t>
  </si>
  <si>
    <t>CASE-59846</t>
  </si>
  <si>
    <t>Non-Binary</t>
  </si>
  <si>
    <t>Early Childhood Education</t>
  </si>
  <si>
    <t xml:space="preserve">Atheist </t>
  </si>
  <si>
    <t>34th Ave W &amp; W Raye Street</t>
  </si>
  <si>
    <t>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t>
  </si>
  <si>
    <t>The most logical and likely explanation is that they were drones, but I've always been open to the possibility that we are not alone.</t>
  </si>
  <si>
    <t>TYPE_III</t>
  </si>
  <si>
    <t>RES</t>
  </si>
  <si>
    <t>CALM</t>
  </si>
  <si>
    <t>CASE-51685</t>
  </si>
  <si>
    <t>Commercial Diving</t>
  </si>
  <si>
    <t>Catholic</t>
  </si>
  <si>
    <t xml:space="preserve">Lake Washington </t>
  </si>
  <si>
    <t xml:space="preserve">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t>
  </si>
  <si>
    <t xml:space="preserve">I think there is a giant koi fish in Lake Washington, I don’t know how long it’s been there or how it got there. </t>
  </si>
  <si>
    <t>Yatyasguzman@gmail.com</t>
  </si>
  <si>
    <t>CASE-85761</t>
  </si>
  <si>
    <t>Service</t>
  </si>
  <si>
    <t>Agnostic</t>
  </si>
  <si>
    <t>Unknown lake, chelan county?</t>
  </si>
  <si>
    <t>WITNESS_GROUP</t>
  </si>
  <si>
    <t>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t>
  </si>
  <si>
    <t>I had flatly refused to attribute it to the supernatural as a matter of course, but it always felt like we came very close to something too strange.</t>
  </si>
  <si>
    <t>CASE-51740</t>
  </si>
  <si>
    <t>36-45</t>
  </si>
  <si>
    <t>Non-binary</t>
  </si>
  <si>
    <t>Warehouse operations</t>
  </si>
  <si>
    <t>Mostly secular now after living in a cult as a child</t>
  </si>
  <si>
    <t>Downtown Seattle, Freeway Park</t>
  </si>
  <si>
    <t xml:space="preserve">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t>
  </si>
  <si>
    <t xml:space="preserve">Seattle is weird and I have epilepsy. </t>
  </si>
  <si>
    <t>aldermansabina@gmail.com</t>
  </si>
  <si>
    <t>CASE-48244</t>
  </si>
  <si>
    <t>SPAM</t>
  </si>
  <si>
    <t>66+</t>
  </si>
  <si>
    <t>Male, normal</t>
  </si>
  <si>
    <t>Bartender</t>
  </si>
  <si>
    <t>Shoreline</t>
  </si>
  <si>
    <t>I was driving in my 2024 Ford Super Duty Limited, with a jacked chassis, when I suddenly felt an acute pressure in my left ear lobe and a sickness in my stomach, when my 2024 Ford Super Duty Limited, with a jacked chassis, suddenly stalled and I had to pull over. I got out to check on the engine, of my 2024 Ford Super Duty Limited, with a jacked chassis. I then smelled rotten eggs. I thought this was odd because I had just taken a shower last week, and I do not start to smell like eggs ‘til at least three weeks after. I then looked around to find the source of the pungent stank; I believed it was a ran over skunk. As I was taking a gander I heard the beating of wings, I looked up to see if it was some birds but to my surprise it was a humanoid figure with wings spanning at least 50 feet. Its face was reminiscent of a flying fox bat, reminds me of my aunt [REDACTED] 😂, at least from what I could tell. Its eye glowed a sickeningly blood red and its coat shone a navy blue. It hovered for a moment as it seemed to stare into my soul. I then ran back into the safety of my 2024 Ford Super Duty Limited, with a jacked chassis. As I waited for the beast to fly away I felt a pulsing pressure in my frontal lobe, and a tickling sensation in my left cheek, not saying which cheek haha. The beast then flew away, I assume it no longer saw me as an easy target, possibly because of my 2024 Ford Super Duty Limited, with a jacked chassis. I don’t exactly remember anything after that because I was in shock, I had never come across something like this in all 69 of my years, might I add that these years were spent as a red blooded Catholic American.</t>
  </si>
  <si>
    <t>I have since done some research on this topic before I ran into the flyer for this fine institution. I have come to the conclusion, with the help of my Reddit friends, that this was the elusive, notoriously infamous, batsquatch. My dumbass kiddo thought it was just my imagination acting up as I am usually drunk on my drive from my shift at the bar, but that day I was merely tipsy as I have garnered a tolerance to alcohol over the years. So I do believe wholeheartedly that the batsquatch is back.</t>
  </si>
  <si>
    <t>PRIVATE_DATA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</si>
</sst>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8" x14ac:knownFonts="1">
    <font>
      <sz val="10"/>
      <color rgb="FF000000"/>
      <name val="Arial"/>
      <scheme val="minor"/>
    </font>
    <font>
      <b/>
      <sz val="10"/>
      <color theme="1"/>
      <name val="Courier New"/>
    </font>
    <font>
      <b/>
      <sz val="12"/>
      <color theme="1"/>
      <name val="Courier New"/>
    </font>
    <font>
      <b/>
      <u/>
      <sz val="12"/>
      <color rgb="FF0000FF"/>
      <name val="Courier New"/>
    </font>
    <font>
      <b/>
      <u/>
      <sz val="12"/>
      <color rgb="FF0000FF"/>
      <name val="Courier New"/>
    </font>
    <font>
      <sz val="12"/>
      <color theme="1"/>
      <name val="Arial"/>
    </font>
    <font>
      <b/>
      <sz val="12"/>
      <color theme="1"/>
      <name val="Courier New"/>
      <family val="1"/>
    </font>
    <font>
      <sz val="12"/>
      <color rgb="FF000000"/>
      <name val="Arial"/>
      <family val="2"/>
      <scheme val="minor"/>
    </font>
  </fonts>
  <fills count="6">
    <fill>
      <patternFill patternType="none"/>
    </fill>
    <fill>
      <patternFill patternType="gray125"/>
    </fill>
    <fill>
      <patternFill patternType="solid">
        <fgColor rgb="FFB6D7A8"/>
        <bgColor rgb="FFB6D7A8"/>
      </patternFill>
    </fill>
    <fill>
      <patternFill patternType="solid">
        <fgColor rgb="FFB7B7B7"/>
        <bgColor rgb="FFB7B7B7"/>
      </patternFill>
    </fill>
    <fill>
      <patternFill patternType="solid">
        <fgColor rgb="FFA39266"/>
        <bgColor rgb="FFA39266"/>
      </patternFill>
    </fill>
    <fill>
      <patternFill patternType="solid">
        <fgColor rgb="FFE06666"/>
        <bgColor rgb="FFE0666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2" borderId="0" xfId="0" applyFont="1" applyFill="1" applyAlignment="1">
      <alignment vertical="top"/>
    </xf>
    <xf numFmtId="0" fontId="1" fillId="3" borderId="0" xfId="0" applyFont="1" applyFill="1" applyAlignment="1">
      <alignment vertical="top"/>
    </xf>
    <xf numFmtId="0" fontId="1" fillId="4" borderId="0" xfId="0" applyFont="1" applyFill="1" applyAlignment="1">
      <alignment vertical="top"/>
    </xf>
    <xf numFmtId="0" fontId="1" fillId="5" borderId="0" xfId="0" applyFont="1" applyFill="1" applyAlignment="1">
      <alignment vertical="top"/>
    </xf>
    <xf numFmtId="0" fontId="1" fillId="0" borderId="0" xfId="0" applyFont="1" applyAlignment="1">
      <alignment vertical="top"/>
    </xf>
    <xf numFmtId="0" fontId="5" fillId="0" borderId="0" xfId="0" applyFont="1" applyAlignment="1">
      <alignment vertical="center" wrapText="1"/>
    </xf>
    <xf numFmtId="164" fontId="5" fillId="0" borderId="0" xfId="0" applyNumberFormat="1" applyFont="1" applyAlignment="1">
      <alignment vertical="center" wrapText="1"/>
    </xf>
    <xf numFmtId="0" fontId="6" fillId="0" borderId="1" xfId="0" applyFont="1" applyBorder="1" applyAlignment="1">
      <alignment vertical="top"/>
    </xf>
    <xf numFmtId="0" fontId="6" fillId="0" borderId="1" xfId="0" applyFont="1" applyBorder="1" applyAlignment="1"/>
    <xf numFmtId="0" fontId="6" fillId="0" borderId="1" xfId="0" applyFont="1" applyBorder="1" applyAlignment="1">
      <alignment horizontal="left" vertical="center"/>
    </xf>
    <xf numFmtId="0" fontId="7" fillId="0" borderId="0" xfId="0" applyFont="1" applyAlignment="1"/>
    <xf numFmtId="164" fontId="2" fillId="2" borderId="0" xfId="0" applyNumberFormat="1"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left" vertical="center"/>
    </xf>
    <xf numFmtId="0" fontId="3" fillId="2" borderId="0" xfId="0" applyFont="1" applyFill="1" applyAlignment="1">
      <alignment vertical="center"/>
    </xf>
    <xf numFmtId="0" fontId="0" fillId="0" borderId="0" xfId="0" applyAlignment="1"/>
    <xf numFmtId="164" fontId="2" fillId="3" borderId="0" xfId="0" applyNumberFormat="1" applyFont="1" applyFill="1" applyAlignment="1">
      <alignment vertical="center"/>
    </xf>
    <xf numFmtId="0" fontId="2" fillId="3" borderId="0" xfId="0" applyFont="1" applyFill="1" applyAlignment="1">
      <alignment vertical="center"/>
    </xf>
    <xf numFmtId="0" fontId="2" fillId="3" borderId="0" xfId="0" applyFont="1" applyFill="1" applyAlignment="1">
      <alignment horizontal="left" vertical="center"/>
    </xf>
    <xf numFmtId="164" fontId="2" fillId="4" borderId="0" xfId="0" applyNumberFormat="1" applyFont="1" applyFill="1" applyAlignment="1">
      <alignment vertical="center"/>
    </xf>
    <xf numFmtId="0" fontId="2" fillId="4" borderId="0" xfId="0" applyFont="1" applyFill="1" applyAlignment="1">
      <alignment vertical="center"/>
    </xf>
    <xf numFmtId="0" fontId="2" fillId="4" borderId="0" xfId="0" applyFont="1" applyFill="1" applyAlignment="1">
      <alignment horizontal="left" vertical="center"/>
    </xf>
    <xf numFmtId="0" fontId="4" fillId="3" borderId="0" xfId="0" applyFont="1" applyFill="1" applyAlignment="1">
      <alignment vertical="center"/>
    </xf>
    <xf numFmtId="164" fontId="2" fillId="5" borderId="0" xfId="0" applyNumberFormat="1" applyFont="1" applyFill="1" applyAlignment="1">
      <alignment vertical="center"/>
    </xf>
    <xf numFmtId="0" fontId="2" fillId="5" borderId="0" xfId="0" applyFont="1" applyFill="1" applyAlignment="1">
      <alignment vertical="center"/>
    </xf>
    <xf numFmtId="0" fontId="2" fillId="5" borderId="0" xfId="0" applyFont="1" applyFill="1" applyAlignment="1">
      <alignment horizontal="left" vertical="center"/>
    </xf>
    <xf numFmtId="164" fontId="1" fillId="0" borderId="0" xfId="0" applyNumberFormat="1" applyFont="1" applyAlignment="1">
      <alignment vertical="top"/>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aps.app.goo.gl/RWraEzJr1u5snC4a6" TargetMode="External"/><Relationship Id="rId1" Type="http://schemas.openxmlformats.org/officeDocument/2006/relationships/hyperlink" Target="https://maps.app.goo.gl/SSJBWECDf4qtiV2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E973"/>
  <sheetViews>
    <sheetView tabSelected="1" workbookViewId="0">
      <pane xSplit="2" ySplit="1" topLeftCell="C2" activePane="bottomRight" state="frozen"/>
      <selection pane="topRight" activeCell="C1" sqref="C1"/>
      <selection pane="bottomLeft" activeCell="A2" sqref="A2"/>
      <selection pane="bottomRight"/>
    </sheetView>
  </sheetViews>
  <sheetFormatPr baseColWidth="10" defaultColWidth="12.6640625" defaultRowHeight="15.75" customHeight="1" x14ac:dyDescent="0.15"/>
  <cols>
    <col min="1" max="1" width="22.6640625" style="16" customWidth="1"/>
    <col min="2" max="2" width="15.6640625" style="16" customWidth="1"/>
    <col min="3" max="3" width="19.1640625" style="16" customWidth="1"/>
    <col min="4" max="4" width="11.33203125" style="16" customWidth="1"/>
    <col min="5" max="5" width="16" style="16" customWidth="1"/>
    <col min="6" max="6" width="13.83203125" style="16" customWidth="1"/>
    <col min="7" max="7" width="14.6640625" style="16" customWidth="1"/>
    <col min="8" max="8" width="16.1640625" style="16" customWidth="1"/>
    <col min="9" max="9" width="19.1640625" style="16" customWidth="1"/>
    <col min="10" max="10" width="16.33203125" style="16" customWidth="1"/>
    <col min="11" max="11" width="16" style="16" customWidth="1"/>
    <col min="12" max="12" width="12.5" style="16" customWidth="1"/>
    <col min="13" max="13" width="13" style="16" customWidth="1"/>
    <col min="14" max="14" width="14.6640625" style="16" customWidth="1"/>
    <col min="15" max="15" width="17.6640625" style="16" customWidth="1"/>
    <col min="16" max="16" width="13.1640625" style="16" customWidth="1"/>
    <col min="17" max="17" width="13.6640625" style="16" customWidth="1"/>
    <col min="18" max="18" width="13.33203125" style="16" customWidth="1"/>
    <col min="19" max="19" width="82.5" style="16" customWidth="1"/>
    <col min="20" max="20" width="81.1640625" style="16" customWidth="1"/>
    <col min="21" max="21" width="31" style="16" customWidth="1"/>
    <col min="22" max="22" width="18.33203125" style="16" customWidth="1"/>
    <col min="23" max="23" width="15.6640625" style="16" customWidth="1"/>
    <col min="24" max="24" width="12.6640625" style="16"/>
    <col min="25" max="25" width="11.6640625" style="16" customWidth="1"/>
    <col min="26" max="26" width="13.6640625" style="16" customWidth="1"/>
    <col min="27" max="27" width="13.33203125" style="16" customWidth="1"/>
    <col min="28" max="28" width="12.6640625" style="16"/>
    <col min="29" max="29" width="14.1640625" style="16" customWidth="1"/>
    <col min="30" max="30" width="14" style="16" customWidth="1"/>
    <col min="31" max="16384" width="12.6640625" style="16"/>
  </cols>
  <sheetData>
    <row r="1" spans="1:31" s="11" customFormat="1" ht="17" x14ac:dyDescent="0.25">
      <c r="A1" s="9" t="s">
        <v>0</v>
      </c>
      <c r="B1" s="9" t="s">
        <v>1</v>
      </c>
      <c r="C1" s="10"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8"/>
    </row>
    <row r="2" spans="1:31" ht="15.75" customHeight="1" x14ac:dyDescent="0.15">
      <c r="A2" s="12">
        <v>46026.02750059028</v>
      </c>
      <c r="B2" s="13" t="s">
        <v>30</v>
      </c>
      <c r="C2" s="14" t="s">
        <v>31</v>
      </c>
      <c r="D2" s="13" t="s">
        <v>32</v>
      </c>
      <c r="E2" s="13" t="s">
        <v>33</v>
      </c>
      <c r="F2" s="13" t="s">
        <v>34</v>
      </c>
      <c r="G2" s="13" t="s">
        <v>35</v>
      </c>
      <c r="H2" s="13" t="s">
        <v>36</v>
      </c>
      <c r="I2" s="15" t="s">
        <v>37</v>
      </c>
      <c r="J2" s="13" t="s">
        <v>38</v>
      </c>
      <c r="K2" s="13"/>
      <c r="L2" s="13"/>
      <c r="M2" s="13"/>
      <c r="N2" s="13"/>
      <c r="O2" s="13"/>
      <c r="P2" s="13"/>
      <c r="Q2" s="13"/>
      <c r="R2" s="13" t="s">
        <v>39</v>
      </c>
      <c r="S2" s="13" t="s">
        <v>40</v>
      </c>
      <c r="T2" s="13" t="s">
        <v>41</v>
      </c>
      <c r="U2" s="13" t="s">
        <v>42</v>
      </c>
      <c r="V2" s="13" t="s">
        <v>43</v>
      </c>
      <c r="W2" s="13"/>
      <c r="X2" s="13"/>
      <c r="Y2" s="13" t="s">
        <v>44</v>
      </c>
      <c r="Z2" s="13"/>
      <c r="AA2" s="13"/>
      <c r="AB2" s="13"/>
      <c r="AC2" s="13"/>
      <c r="AD2" s="13"/>
      <c r="AE2" s="1"/>
    </row>
    <row r="3" spans="1:31" ht="15.75" customHeight="1" x14ac:dyDescent="0.15">
      <c r="A3" s="12">
        <v>46026.1995316088</v>
      </c>
      <c r="B3" s="13" t="s">
        <v>45</v>
      </c>
      <c r="C3" s="14" t="s">
        <v>31</v>
      </c>
      <c r="D3" s="13" t="s">
        <v>32</v>
      </c>
      <c r="E3" s="13"/>
      <c r="F3" s="13" t="s">
        <v>46</v>
      </c>
      <c r="G3" s="13" t="s">
        <v>47</v>
      </c>
      <c r="H3" s="13" t="s">
        <v>36</v>
      </c>
      <c r="I3" s="13"/>
      <c r="J3" s="13" t="s">
        <v>48</v>
      </c>
      <c r="K3" s="13"/>
      <c r="L3" s="13"/>
      <c r="M3" s="13" t="s">
        <v>39</v>
      </c>
      <c r="N3" s="13"/>
      <c r="O3" s="13"/>
      <c r="P3" s="13" t="s">
        <v>39</v>
      </c>
      <c r="Q3" s="13"/>
      <c r="R3" s="13"/>
      <c r="S3" s="13" t="s">
        <v>49</v>
      </c>
      <c r="T3" s="13" t="s">
        <v>50</v>
      </c>
      <c r="U3" s="13" t="s">
        <v>51</v>
      </c>
      <c r="V3" s="13" t="s">
        <v>43</v>
      </c>
      <c r="W3" s="13"/>
      <c r="X3" s="13"/>
      <c r="Y3" s="13" t="s">
        <v>44</v>
      </c>
      <c r="Z3" s="13"/>
      <c r="AA3" s="13"/>
      <c r="AB3" s="13"/>
      <c r="AC3" s="13"/>
      <c r="AD3" s="13"/>
      <c r="AE3" s="1"/>
    </row>
    <row r="4" spans="1:31" ht="15.75" customHeight="1" x14ac:dyDescent="0.15">
      <c r="A4" s="17">
        <v>46026.227209884259</v>
      </c>
      <c r="B4" s="18" t="s">
        <v>52</v>
      </c>
      <c r="C4" s="19" t="s">
        <v>31</v>
      </c>
      <c r="D4" s="18" t="s">
        <v>53</v>
      </c>
      <c r="E4" s="18"/>
      <c r="F4" s="18"/>
      <c r="G4" s="18"/>
      <c r="H4" s="18" t="s">
        <v>36</v>
      </c>
      <c r="I4" s="18" t="s">
        <v>54</v>
      </c>
      <c r="J4" s="18" t="s">
        <v>48</v>
      </c>
      <c r="K4" s="18"/>
      <c r="L4" s="18" t="s">
        <v>39</v>
      </c>
      <c r="M4" s="18" t="s">
        <v>39</v>
      </c>
      <c r="N4" s="18"/>
      <c r="O4" s="18"/>
      <c r="P4" s="18"/>
      <c r="Q4" s="18"/>
      <c r="R4" s="18"/>
      <c r="S4" s="18" t="s">
        <v>55</v>
      </c>
      <c r="T4" s="18" t="s">
        <v>56</v>
      </c>
      <c r="U4" s="18"/>
      <c r="V4" s="18" t="s">
        <v>43</v>
      </c>
      <c r="W4" s="18"/>
      <c r="X4" s="18"/>
      <c r="Y4" s="18" t="s">
        <v>44</v>
      </c>
      <c r="Z4" s="18"/>
      <c r="AA4" s="18"/>
      <c r="AB4" s="18"/>
      <c r="AC4" s="18" t="s">
        <v>57</v>
      </c>
      <c r="AD4" s="18" t="s">
        <v>58</v>
      </c>
      <c r="AE4" s="2"/>
    </row>
    <row r="5" spans="1:31" ht="15.75" customHeight="1" x14ac:dyDescent="0.15">
      <c r="A5" s="17">
        <v>46026.794663043984</v>
      </c>
      <c r="B5" s="18" t="s">
        <v>59</v>
      </c>
      <c r="C5" s="19" t="s">
        <v>31</v>
      </c>
      <c r="D5" s="18" t="s">
        <v>32</v>
      </c>
      <c r="E5" s="18" t="s">
        <v>60</v>
      </c>
      <c r="F5" s="18"/>
      <c r="G5" s="18"/>
      <c r="H5" s="18" t="s">
        <v>36</v>
      </c>
      <c r="I5" s="18" t="s">
        <v>61</v>
      </c>
      <c r="J5" s="18" t="s">
        <v>38</v>
      </c>
      <c r="K5" s="18"/>
      <c r="L5" s="18" t="s">
        <v>39</v>
      </c>
      <c r="M5" s="18"/>
      <c r="N5" s="18"/>
      <c r="O5" s="18"/>
      <c r="P5" s="18"/>
      <c r="Q5" s="18"/>
      <c r="R5" s="18"/>
      <c r="S5" s="18" t="s">
        <v>62</v>
      </c>
      <c r="T5" s="18" t="s">
        <v>63</v>
      </c>
      <c r="U5" s="18"/>
      <c r="V5" s="18" t="s">
        <v>43</v>
      </c>
      <c r="W5" s="18"/>
      <c r="X5" s="18"/>
      <c r="Y5" s="18" t="s">
        <v>64</v>
      </c>
      <c r="Z5" s="18" t="s">
        <v>65</v>
      </c>
      <c r="AA5" s="18"/>
      <c r="AB5" s="18"/>
      <c r="AC5" s="18"/>
      <c r="AD5" s="18"/>
      <c r="AE5" s="2"/>
    </row>
    <row r="6" spans="1:31" ht="15.75" customHeight="1" x14ac:dyDescent="0.15">
      <c r="A6" s="20">
        <v>46026.796708668982</v>
      </c>
      <c r="B6" s="21" t="s">
        <v>66</v>
      </c>
      <c r="C6" s="22" t="s">
        <v>31</v>
      </c>
      <c r="D6" s="21" t="s">
        <v>67</v>
      </c>
      <c r="E6" s="21" t="s">
        <v>68</v>
      </c>
      <c r="F6" s="21" t="s">
        <v>69</v>
      </c>
      <c r="G6" s="21" t="s">
        <v>35</v>
      </c>
      <c r="H6" s="21" t="s">
        <v>36</v>
      </c>
      <c r="I6" s="21" t="s">
        <v>70</v>
      </c>
      <c r="J6" s="21" t="s">
        <v>71</v>
      </c>
      <c r="K6" s="21"/>
      <c r="L6" s="21"/>
      <c r="M6" s="21" t="s">
        <v>39</v>
      </c>
      <c r="N6" s="21"/>
      <c r="O6" s="21"/>
      <c r="P6" s="21"/>
      <c r="Q6" s="21"/>
      <c r="R6" s="21"/>
      <c r="S6" s="21" t="s">
        <v>72</v>
      </c>
      <c r="T6" s="21" t="s">
        <v>73</v>
      </c>
      <c r="U6" s="21" t="s">
        <v>74</v>
      </c>
      <c r="V6" s="21" t="s">
        <v>43</v>
      </c>
      <c r="W6" s="21"/>
      <c r="X6" s="21"/>
      <c r="Y6" s="21" t="s">
        <v>75</v>
      </c>
      <c r="Z6" s="21"/>
      <c r="AA6" s="21"/>
      <c r="AB6" s="21"/>
      <c r="AC6" s="21"/>
      <c r="AD6" s="21"/>
      <c r="AE6" s="3"/>
    </row>
    <row r="7" spans="1:31" ht="15.75" customHeight="1" x14ac:dyDescent="0.15">
      <c r="A7" s="17">
        <v>46026.986482465276</v>
      </c>
      <c r="B7" s="18" t="s">
        <v>76</v>
      </c>
      <c r="C7" s="19" t="s">
        <v>31</v>
      </c>
      <c r="D7" s="18" t="s">
        <v>53</v>
      </c>
      <c r="E7" s="18" t="s">
        <v>77</v>
      </c>
      <c r="F7" s="18" t="s">
        <v>78</v>
      </c>
      <c r="G7" s="18" t="s">
        <v>79</v>
      </c>
      <c r="H7" s="18" t="s">
        <v>36</v>
      </c>
      <c r="I7" s="23" t="s">
        <v>80</v>
      </c>
      <c r="J7" s="18" t="s">
        <v>48</v>
      </c>
      <c r="K7" s="18"/>
      <c r="L7" s="18"/>
      <c r="M7" s="18"/>
      <c r="N7" s="18"/>
      <c r="O7" s="18"/>
      <c r="P7" s="18"/>
      <c r="Q7" s="18"/>
      <c r="R7" s="18" t="s">
        <v>39</v>
      </c>
      <c r="S7" s="18" t="s">
        <v>81</v>
      </c>
      <c r="T7" s="18" t="s">
        <v>82</v>
      </c>
      <c r="U7" s="18"/>
      <c r="V7" s="18" t="s">
        <v>43</v>
      </c>
      <c r="W7" s="18"/>
      <c r="X7" s="18"/>
      <c r="Y7" s="18" t="s">
        <v>83</v>
      </c>
      <c r="Z7" s="18" t="s">
        <v>84</v>
      </c>
      <c r="AA7" s="18"/>
      <c r="AB7" s="18"/>
      <c r="AC7" s="18" t="s">
        <v>85</v>
      </c>
      <c r="AD7" s="18"/>
      <c r="AE7" s="2"/>
    </row>
    <row r="8" spans="1:31" ht="15.75" customHeight="1" x14ac:dyDescent="0.15">
      <c r="A8" s="20">
        <v>46027.105759826387</v>
      </c>
      <c r="B8" s="21" t="s">
        <v>86</v>
      </c>
      <c r="C8" s="22" t="s">
        <v>31</v>
      </c>
      <c r="D8" s="21" t="s">
        <v>32</v>
      </c>
      <c r="E8" s="21" t="s">
        <v>68</v>
      </c>
      <c r="F8" s="21" t="s">
        <v>87</v>
      </c>
      <c r="G8" s="21" t="s">
        <v>88</v>
      </c>
      <c r="H8" s="21" t="s">
        <v>36</v>
      </c>
      <c r="I8" s="21" t="s">
        <v>89</v>
      </c>
      <c r="J8" s="21" t="s">
        <v>48</v>
      </c>
      <c r="K8" s="21"/>
      <c r="L8" s="21"/>
      <c r="M8" s="21"/>
      <c r="N8" s="21"/>
      <c r="O8" s="21" t="s">
        <v>39</v>
      </c>
      <c r="P8" s="21"/>
      <c r="Q8" s="21"/>
      <c r="R8" s="21"/>
      <c r="S8" s="21" t="s">
        <v>90</v>
      </c>
      <c r="T8" s="21" t="s">
        <v>91</v>
      </c>
      <c r="U8" s="21" t="s">
        <v>92</v>
      </c>
      <c r="V8" s="21" t="s">
        <v>43</v>
      </c>
      <c r="W8" s="21"/>
      <c r="X8" s="21"/>
      <c r="Y8" s="21" t="s">
        <v>64</v>
      </c>
      <c r="Z8" s="21"/>
      <c r="AA8" s="21"/>
      <c r="AB8" s="21"/>
      <c r="AC8" s="21"/>
      <c r="AD8" s="21"/>
      <c r="AE8" s="3"/>
    </row>
    <row r="9" spans="1:31" ht="15.75" customHeight="1" x14ac:dyDescent="0.15">
      <c r="A9" s="17">
        <v>46027.381674756944</v>
      </c>
      <c r="B9" s="18" t="s">
        <v>93</v>
      </c>
      <c r="C9" s="19" t="s">
        <v>31</v>
      </c>
      <c r="D9" s="18" t="s">
        <v>53</v>
      </c>
      <c r="E9" s="18" t="s">
        <v>33</v>
      </c>
      <c r="F9" s="18" t="s">
        <v>94</v>
      </c>
      <c r="G9" s="18" t="s">
        <v>95</v>
      </c>
      <c r="H9" s="18" t="s">
        <v>36</v>
      </c>
      <c r="I9" s="18" t="s">
        <v>96</v>
      </c>
      <c r="J9" s="18" t="s">
        <v>97</v>
      </c>
      <c r="K9" s="18" t="s">
        <v>39</v>
      </c>
      <c r="L9" s="18"/>
      <c r="M9" s="18"/>
      <c r="N9" s="18"/>
      <c r="O9" s="18"/>
      <c r="P9" s="18"/>
      <c r="Q9" s="18"/>
      <c r="R9" s="18"/>
      <c r="S9" s="18" t="s">
        <v>98</v>
      </c>
      <c r="T9" s="18" t="s">
        <v>99</v>
      </c>
      <c r="U9" s="18"/>
      <c r="V9" s="18" t="s">
        <v>43</v>
      </c>
      <c r="W9" s="18"/>
      <c r="X9" s="18"/>
      <c r="Y9" s="18" t="s">
        <v>64</v>
      </c>
      <c r="Z9" s="18" t="s">
        <v>65</v>
      </c>
      <c r="AA9" s="18"/>
      <c r="AB9" s="18"/>
      <c r="AC9" s="18"/>
      <c r="AD9" s="18"/>
      <c r="AE9" s="2"/>
    </row>
    <row r="10" spans="1:31" ht="15.75" customHeight="1" x14ac:dyDescent="0.15">
      <c r="A10" s="12">
        <v>46027.476546087964</v>
      </c>
      <c r="B10" s="13" t="s">
        <v>100</v>
      </c>
      <c r="C10" s="14" t="s">
        <v>31</v>
      </c>
      <c r="D10" s="13" t="s">
        <v>101</v>
      </c>
      <c r="E10" s="13" t="s">
        <v>102</v>
      </c>
      <c r="F10" s="13" t="s">
        <v>103</v>
      </c>
      <c r="G10" s="13" t="s">
        <v>104</v>
      </c>
      <c r="H10" s="13" t="s">
        <v>36</v>
      </c>
      <c r="I10" s="13" t="s">
        <v>105</v>
      </c>
      <c r="J10" s="13" t="s">
        <v>48</v>
      </c>
      <c r="K10" s="13" t="s">
        <v>39</v>
      </c>
      <c r="L10" s="13" t="s">
        <v>39</v>
      </c>
      <c r="M10" s="13" t="s">
        <v>39</v>
      </c>
      <c r="N10" s="13" t="s">
        <v>39</v>
      </c>
      <c r="O10" s="13"/>
      <c r="P10" s="13"/>
      <c r="Q10" s="13"/>
      <c r="R10" s="13" t="s">
        <v>39</v>
      </c>
      <c r="S10" s="13" t="s">
        <v>106</v>
      </c>
      <c r="T10" s="13" t="s">
        <v>107</v>
      </c>
      <c r="U10" s="13" t="s">
        <v>108</v>
      </c>
      <c r="V10" s="13" t="s">
        <v>43</v>
      </c>
      <c r="W10" s="13"/>
      <c r="X10" s="13"/>
      <c r="Y10" s="13" t="s">
        <v>44</v>
      </c>
      <c r="Z10" s="13"/>
      <c r="AA10" s="13"/>
      <c r="AB10" s="13"/>
      <c r="AC10" s="13"/>
      <c r="AD10" s="13"/>
      <c r="AE10" s="1"/>
    </row>
    <row r="11" spans="1:31" ht="15.75" customHeight="1" x14ac:dyDescent="0.15">
      <c r="A11" s="24">
        <v>46032.006313321763</v>
      </c>
      <c r="B11" s="25" t="s">
        <v>109</v>
      </c>
      <c r="C11" s="26" t="s">
        <v>110</v>
      </c>
      <c r="D11" s="25" t="s">
        <v>111</v>
      </c>
      <c r="E11" s="25" t="s">
        <v>112</v>
      </c>
      <c r="F11" s="25" t="s">
        <v>113</v>
      </c>
      <c r="G11" s="25" t="s">
        <v>88</v>
      </c>
      <c r="H11" s="25" t="s">
        <v>36</v>
      </c>
      <c r="I11" s="25" t="s">
        <v>114</v>
      </c>
      <c r="J11" s="25" t="s">
        <v>48</v>
      </c>
      <c r="K11" s="25" t="s">
        <v>39</v>
      </c>
      <c r="L11" s="25"/>
      <c r="M11" s="25"/>
      <c r="N11" s="25" t="s">
        <v>39</v>
      </c>
      <c r="O11" s="25"/>
      <c r="P11" s="25" t="s">
        <v>39</v>
      </c>
      <c r="Q11" s="25" t="s">
        <v>39</v>
      </c>
      <c r="R11" s="25"/>
      <c r="S11" s="25" t="s">
        <v>115</v>
      </c>
      <c r="T11" s="25" t="s">
        <v>116</v>
      </c>
      <c r="U11" s="25"/>
      <c r="V11" s="25" t="s">
        <v>117</v>
      </c>
      <c r="W11" s="25"/>
      <c r="X11" s="25"/>
      <c r="Y11" s="25"/>
      <c r="Z11" s="25"/>
      <c r="AA11" s="25"/>
      <c r="AB11" s="25"/>
      <c r="AC11" s="25"/>
      <c r="AD11" s="25"/>
      <c r="AE11" s="4"/>
    </row>
    <row r="12" spans="1:31" ht="15.75" customHeight="1" x14ac:dyDescent="0.15">
      <c r="A12" s="27"/>
      <c r="B12" s="5"/>
      <c r="C12" s="28"/>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1" ht="15.75" customHeight="1" x14ac:dyDescent="0.15">
      <c r="A13" s="27"/>
      <c r="B13" s="5"/>
      <c r="C13" s="28"/>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ht="15.75" customHeight="1" x14ac:dyDescent="0.15">
      <c r="A14" s="27"/>
      <c r="B14" s="5"/>
      <c r="C14" s="28"/>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ht="15.75" customHeight="1" x14ac:dyDescent="0.15">
      <c r="A15" s="27"/>
      <c r="B15" s="5"/>
      <c r="C15" s="28"/>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ht="15.75" customHeight="1" x14ac:dyDescent="0.15">
      <c r="A16" s="27"/>
      <c r="B16" s="5"/>
      <c r="C16" s="28"/>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ht="15.75" customHeight="1" x14ac:dyDescent="0.15">
      <c r="A17" s="27"/>
      <c r="B17" s="5"/>
      <c r="C17" s="28"/>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ht="15.75" customHeight="1" x14ac:dyDescent="0.15">
      <c r="A18" s="27"/>
      <c r="B18" s="5"/>
      <c r="C18" s="28"/>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ht="15.75" customHeight="1" x14ac:dyDescent="0.15">
      <c r="A19" s="27"/>
      <c r="B19" s="5"/>
      <c r="C19" s="28"/>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ht="15.75" customHeight="1" x14ac:dyDescent="0.15">
      <c r="A20" s="27"/>
      <c r="B20" s="5"/>
      <c r="C20" s="28"/>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1" ht="15.75" customHeight="1" x14ac:dyDescent="0.15">
      <c r="A21" s="27"/>
      <c r="B21" s="5"/>
      <c r="C21" s="28"/>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1" ht="15.75" customHeight="1" x14ac:dyDescent="0.15">
      <c r="A22" s="27"/>
      <c r="B22" s="5"/>
      <c r="C22" s="28"/>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1" ht="15.75" customHeight="1" x14ac:dyDescent="0.15">
      <c r="A23" s="27"/>
      <c r="B23" s="5"/>
      <c r="C23" s="28"/>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1" ht="15.75" customHeight="1" x14ac:dyDescent="0.15">
      <c r="A24" s="27"/>
      <c r="B24" s="5"/>
      <c r="C24" s="28"/>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1" ht="15.75" customHeight="1" x14ac:dyDescent="0.15">
      <c r="A25" s="27"/>
      <c r="B25" s="5"/>
      <c r="C25" s="28"/>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1" ht="15.75" customHeight="1" x14ac:dyDescent="0.15">
      <c r="A26" s="27"/>
      <c r="B26" s="5"/>
      <c r="C26" s="28"/>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1" ht="15.75" customHeight="1" x14ac:dyDescent="0.15">
      <c r="A27" s="27"/>
      <c r="B27" s="5"/>
      <c r="C27" s="28"/>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1" ht="15.75" customHeight="1" x14ac:dyDescent="0.15">
      <c r="A28" s="27"/>
      <c r="B28" s="5"/>
      <c r="C28" s="28"/>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1" ht="15.75" customHeight="1" x14ac:dyDescent="0.15">
      <c r="A29" s="27"/>
      <c r="B29" s="5"/>
      <c r="C29" s="28"/>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1:31" ht="15.75" customHeight="1" x14ac:dyDescent="0.15">
      <c r="A30" s="27"/>
      <c r="B30" s="5"/>
      <c r="C30" s="28"/>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1:31" ht="15.75" customHeight="1" x14ac:dyDescent="0.15">
      <c r="A31" s="27"/>
      <c r="B31" s="5"/>
      <c r="C31" s="28"/>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1:31" ht="15.75" customHeight="1" x14ac:dyDescent="0.15">
      <c r="A32" s="27"/>
      <c r="B32" s="5"/>
      <c r="C32" s="28"/>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1:31" ht="15.75" customHeight="1" x14ac:dyDescent="0.15">
      <c r="A33" s="27"/>
      <c r="B33" s="5"/>
      <c r="C33" s="28"/>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1:31" ht="15.75" customHeight="1" x14ac:dyDescent="0.15">
      <c r="A34" s="27"/>
      <c r="B34" s="5"/>
      <c r="C34" s="28"/>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1:31" ht="15.75" customHeight="1" x14ac:dyDescent="0.15">
      <c r="A35" s="27"/>
      <c r="B35" s="5"/>
      <c r="C35" s="28"/>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row>
    <row r="36" spans="1:31" ht="15.75" customHeight="1" x14ac:dyDescent="0.15">
      <c r="A36" s="27"/>
      <c r="B36" s="5"/>
      <c r="C36" s="28"/>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row>
    <row r="37" spans="1:31" ht="15.75" customHeight="1" x14ac:dyDescent="0.15">
      <c r="A37" s="27"/>
      <c r="B37" s="5"/>
      <c r="C37" s="28"/>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row>
    <row r="38" spans="1:31" ht="15.75" customHeight="1" x14ac:dyDescent="0.15">
      <c r="A38" s="27"/>
      <c r="B38" s="5"/>
      <c r="C38" s="28"/>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row>
    <row r="39" spans="1:31" ht="15.75" customHeight="1" x14ac:dyDescent="0.15">
      <c r="A39" s="27"/>
      <c r="B39" s="5"/>
      <c r="C39" s="28"/>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row>
    <row r="40" spans="1:31" ht="15.75" customHeight="1" x14ac:dyDescent="0.15">
      <c r="A40" s="27"/>
      <c r="B40" s="5"/>
      <c r="C40" s="28"/>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row>
    <row r="41" spans="1:31" ht="15.75" customHeight="1" x14ac:dyDescent="0.15">
      <c r="A41" s="27"/>
      <c r="B41" s="5"/>
      <c r="C41" s="28"/>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row>
    <row r="42" spans="1:31" ht="15.75" customHeight="1" x14ac:dyDescent="0.15">
      <c r="A42" s="27"/>
      <c r="B42" s="5"/>
      <c r="C42" s="28"/>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row>
    <row r="43" spans="1:31" ht="15.75" customHeight="1" x14ac:dyDescent="0.15">
      <c r="A43" s="27"/>
      <c r="B43" s="5"/>
      <c r="C43" s="28"/>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row>
    <row r="44" spans="1:31" ht="15.75" customHeight="1" x14ac:dyDescent="0.15">
      <c r="A44" s="27"/>
      <c r="B44" s="5"/>
      <c r="C44" s="28"/>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row>
    <row r="45" spans="1:31" ht="15.75" customHeight="1" x14ac:dyDescent="0.15">
      <c r="A45" s="27"/>
      <c r="B45" s="5"/>
      <c r="C45" s="28"/>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row>
    <row r="46" spans="1:31" ht="15.75" customHeight="1" x14ac:dyDescent="0.15">
      <c r="A46" s="27"/>
      <c r="B46" s="5"/>
      <c r="C46" s="28"/>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row>
    <row r="47" spans="1:31" ht="14" x14ac:dyDescent="0.15">
      <c r="A47" s="27"/>
      <c r="B47" s="5"/>
      <c r="C47" s="28"/>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row>
    <row r="48" spans="1:31" ht="14" x14ac:dyDescent="0.15">
      <c r="A48" s="27"/>
      <c r="B48" s="5"/>
      <c r="C48" s="28"/>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row>
    <row r="49" spans="1:31" ht="14" x14ac:dyDescent="0.15">
      <c r="A49" s="27"/>
      <c r="B49" s="5"/>
      <c r="C49" s="28"/>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row>
    <row r="50" spans="1:31" ht="14" x14ac:dyDescent="0.15">
      <c r="A50" s="27"/>
      <c r="B50" s="5"/>
      <c r="C50" s="28"/>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row>
    <row r="51" spans="1:31" ht="14" x14ac:dyDescent="0.15">
      <c r="A51" s="27"/>
      <c r="B51" s="5"/>
      <c r="C51" s="28"/>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row>
    <row r="52" spans="1:31" ht="14" x14ac:dyDescent="0.15">
      <c r="A52" s="27"/>
      <c r="B52" s="5"/>
      <c r="C52" s="28"/>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row>
    <row r="53" spans="1:31" ht="14" x14ac:dyDescent="0.15">
      <c r="A53" s="27"/>
      <c r="B53" s="5"/>
      <c r="C53" s="28"/>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row>
    <row r="54" spans="1:31" ht="14" x14ac:dyDescent="0.15">
      <c r="A54" s="27"/>
      <c r="B54" s="5"/>
      <c r="C54" s="28"/>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row>
    <row r="55" spans="1:31" ht="14" x14ac:dyDescent="0.15">
      <c r="A55" s="27"/>
      <c r="B55" s="5"/>
      <c r="C55" s="28"/>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row>
    <row r="56" spans="1:31" ht="14" x14ac:dyDescent="0.15">
      <c r="A56" s="27"/>
      <c r="B56" s="5"/>
      <c r="C56" s="28"/>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row>
    <row r="57" spans="1:31" ht="14" x14ac:dyDescent="0.15">
      <c r="A57" s="27"/>
      <c r="B57" s="5"/>
      <c r="C57" s="28"/>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row>
    <row r="58" spans="1:31" ht="14" x14ac:dyDescent="0.15">
      <c r="A58" s="27"/>
      <c r="B58" s="5"/>
      <c r="C58" s="28"/>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row>
    <row r="59" spans="1:31" ht="14" x14ac:dyDescent="0.15">
      <c r="A59" s="27"/>
      <c r="B59" s="5"/>
      <c r="C59" s="28"/>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row>
    <row r="60" spans="1:31" ht="14" x14ac:dyDescent="0.15">
      <c r="A60" s="27"/>
      <c r="B60" s="5"/>
      <c r="C60" s="28"/>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row>
    <row r="61" spans="1:31" ht="14" x14ac:dyDescent="0.15">
      <c r="A61" s="27"/>
      <c r="B61" s="5"/>
      <c r="C61" s="28"/>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row>
    <row r="62" spans="1:31" ht="14" x14ac:dyDescent="0.15">
      <c r="A62" s="27"/>
      <c r="B62" s="5"/>
      <c r="C62" s="28"/>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row>
    <row r="63" spans="1:31" ht="14" x14ac:dyDescent="0.15">
      <c r="A63" s="27"/>
      <c r="B63" s="5"/>
      <c r="C63" s="28"/>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spans="1:31" ht="14" x14ac:dyDescent="0.15">
      <c r="A64" s="27"/>
      <c r="B64" s="5"/>
      <c r="C64" s="28"/>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spans="1:31" ht="14" x14ac:dyDescent="0.15">
      <c r="A65" s="27"/>
      <c r="B65" s="5"/>
      <c r="C65" s="28"/>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spans="1:31" ht="14" x14ac:dyDescent="0.15">
      <c r="A66" s="27"/>
      <c r="B66" s="5"/>
      <c r="C66" s="28"/>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spans="1:31" ht="14" x14ac:dyDescent="0.15">
      <c r="A67" s="27"/>
      <c r="B67" s="5"/>
      <c r="C67" s="28"/>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spans="1:31" ht="14" x14ac:dyDescent="0.15">
      <c r="A68" s="27"/>
      <c r="B68" s="5"/>
      <c r="C68" s="28"/>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1:31" ht="14" x14ac:dyDescent="0.15">
      <c r="A69" s="27"/>
      <c r="B69" s="5"/>
      <c r="C69" s="28"/>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spans="1:31" ht="14" x14ac:dyDescent="0.15">
      <c r="A70" s="27"/>
      <c r="B70" s="5"/>
      <c r="C70" s="28"/>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spans="1:31" ht="14" x14ac:dyDescent="0.15">
      <c r="A71" s="27"/>
      <c r="B71" s="5"/>
      <c r="C71" s="28"/>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spans="1:31" ht="14" x14ac:dyDescent="0.15">
      <c r="A72" s="27"/>
      <c r="B72" s="5"/>
      <c r="C72" s="28"/>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spans="1:31" ht="14" x14ac:dyDescent="0.15">
      <c r="A73" s="27"/>
      <c r="B73" s="5"/>
      <c r="C73" s="28"/>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spans="1:31" ht="14" x14ac:dyDescent="0.15">
      <c r="A74" s="27"/>
      <c r="B74" s="5"/>
      <c r="C74" s="28"/>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spans="1:31" ht="14" x14ac:dyDescent="0.15">
      <c r="A75" s="27"/>
      <c r="B75" s="5"/>
      <c r="C75" s="28"/>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spans="1:31" ht="14" x14ac:dyDescent="0.15">
      <c r="A76" s="27"/>
      <c r="B76" s="5"/>
      <c r="C76" s="28"/>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spans="1:31" ht="14" x14ac:dyDescent="0.15">
      <c r="A77" s="27"/>
      <c r="B77" s="5"/>
      <c r="C77" s="28"/>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spans="1:31" ht="14" x14ac:dyDescent="0.15">
      <c r="A78" s="27"/>
      <c r="B78" s="5"/>
      <c r="C78" s="28"/>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spans="1:31" ht="14" x14ac:dyDescent="0.15">
      <c r="A79" s="27"/>
      <c r="B79" s="5"/>
      <c r="C79" s="28"/>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spans="1:31" ht="14" x14ac:dyDescent="0.15">
      <c r="A80" s="27"/>
      <c r="B80" s="5"/>
      <c r="C80" s="28"/>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spans="1:31" ht="14" x14ac:dyDescent="0.15">
      <c r="A81" s="27"/>
      <c r="B81" s="5"/>
      <c r="C81" s="28"/>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spans="1:31" ht="14" x14ac:dyDescent="0.15">
      <c r="A82" s="27"/>
      <c r="B82" s="5"/>
      <c r="C82" s="28"/>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spans="1:31" ht="14" x14ac:dyDescent="0.15">
      <c r="A83" s="27"/>
      <c r="B83" s="5"/>
      <c r="C83" s="28"/>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spans="1:31" ht="14" x14ac:dyDescent="0.15">
      <c r="A84" s="27"/>
      <c r="B84" s="5"/>
      <c r="C84" s="28"/>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spans="1:31" ht="14" x14ac:dyDescent="0.15">
      <c r="A85" s="27"/>
      <c r="B85" s="5"/>
      <c r="C85" s="28"/>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spans="1:31" ht="14" x14ac:dyDescent="0.15">
      <c r="A86" s="27"/>
      <c r="B86" s="5"/>
      <c r="C86" s="28"/>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spans="1:31" ht="14" x14ac:dyDescent="0.15">
      <c r="A87" s="27"/>
      <c r="B87" s="5"/>
      <c r="C87" s="28"/>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spans="1:31" ht="14" x14ac:dyDescent="0.15">
      <c r="A88" s="27"/>
      <c r="B88" s="5"/>
      <c r="C88" s="28"/>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spans="1:31" ht="14" x14ac:dyDescent="0.15">
      <c r="A89" s="27"/>
      <c r="B89" s="5"/>
      <c r="C89" s="28"/>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spans="1:31" ht="14" x14ac:dyDescent="0.15">
      <c r="A90" s="27"/>
      <c r="B90" s="5"/>
      <c r="C90" s="28"/>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spans="1:31" ht="14" x14ac:dyDescent="0.15">
      <c r="A91" s="27"/>
      <c r="B91" s="5"/>
      <c r="C91" s="28"/>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spans="1:31" ht="14" x14ac:dyDescent="0.15">
      <c r="A92" s="27"/>
      <c r="B92" s="5"/>
      <c r="C92" s="28"/>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spans="1:31" ht="14" x14ac:dyDescent="0.15">
      <c r="A93" s="27"/>
      <c r="B93" s="5"/>
      <c r="C93" s="28"/>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spans="1:31" ht="14" x14ac:dyDescent="0.15">
      <c r="A94" s="27"/>
      <c r="B94" s="5"/>
      <c r="C94" s="28"/>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spans="1:31" ht="14" x14ac:dyDescent="0.15">
      <c r="A95" s="27"/>
      <c r="B95" s="5"/>
      <c r="C95" s="28"/>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spans="1:31" ht="14" x14ac:dyDescent="0.15">
      <c r="A96" s="27"/>
      <c r="B96" s="5"/>
      <c r="C96" s="28"/>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1:31" ht="14" x14ac:dyDescent="0.15">
      <c r="A97" s="27"/>
      <c r="B97" s="5"/>
      <c r="C97" s="28"/>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1:31" ht="14" x14ac:dyDescent="0.15">
      <c r="A98" s="27"/>
      <c r="B98" s="5"/>
      <c r="C98" s="28"/>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1:31" ht="14" x14ac:dyDescent="0.15">
      <c r="A99" s="27"/>
      <c r="B99" s="5"/>
      <c r="C99" s="28"/>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1:31" ht="14" x14ac:dyDescent="0.15">
      <c r="A100" s="27"/>
      <c r="B100" s="5"/>
      <c r="C100" s="28"/>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spans="1:31" ht="14" x14ac:dyDescent="0.15">
      <c r="A101" s="27"/>
      <c r="B101" s="5"/>
      <c r="C101" s="28"/>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spans="1:31" ht="14" x14ac:dyDescent="0.15">
      <c r="A102" s="27"/>
      <c r="B102" s="5"/>
      <c r="C102" s="28"/>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spans="1:31" ht="14" x14ac:dyDescent="0.15">
      <c r="A103" s="27"/>
      <c r="B103" s="5"/>
      <c r="C103" s="28"/>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1:31" ht="14" x14ac:dyDescent="0.15">
      <c r="A104" s="27"/>
      <c r="B104" s="5"/>
      <c r="C104" s="28"/>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1:31" ht="14" x14ac:dyDescent="0.15">
      <c r="A105" s="27"/>
      <c r="B105" s="5"/>
      <c r="C105" s="28"/>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spans="1:31" ht="14" x14ac:dyDescent="0.15">
      <c r="A106" s="27"/>
      <c r="B106" s="5"/>
      <c r="C106" s="28"/>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spans="1:31" ht="14" x14ac:dyDescent="0.15">
      <c r="A107" s="27"/>
      <c r="B107" s="5"/>
      <c r="C107" s="28"/>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spans="1:31" ht="14" x14ac:dyDescent="0.15">
      <c r="A108" s="27"/>
      <c r="B108" s="5"/>
      <c r="C108" s="28"/>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spans="1:31" ht="14" x14ac:dyDescent="0.15">
      <c r="A109" s="27"/>
      <c r="B109" s="5"/>
      <c r="C109" s="28"/>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spans="1:31" ht="14" x14ac:dyDescent="0.15">
      <c r="A110" s="27"/>
      <c r="B110" s="5"/>
      <c r="C110" s="28"/>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spans="1:31" ht="14" x14ac:dyDescent="0.15">
      <c r="A111" s="27"/>
      <c r="B111" s="5"/>
      <c r="C111" s="28"/>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spans="1:31" ht="14" x14ac:dyDescent="0.15">
      <c r="A112" s="27"/>
      <c r="B112" s="5"/>
      <c r="C112" s="28"/>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spans="1:31" ht="14" x14ac:dyDescent="0.15">
      <c r="A113" s="27"/>
      <c r="B113" s="5"/>
      <c r="C113" s="28"/>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spans="1:31" ht="14" x14ac:dyDescent="0.15">
      <c r="A114" s="27"/>
      <c r="B114" s="5"/>
      <c r="C114" s="28"/>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spans="1:31" ht="14" x14ac:dyDescent="0.15">
      <c r="A115" s="27"/>
      <c r="B115" s="5"/>
      <c r="C115" s="28"/>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spans="1:31" ht="14" x14ac:dyDescent="0.15">
      <c r="A116" s="27"/>
      <c r="B116" s="5"/>
      <c r="C116" s="28"/>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spans="1:31" ht="14" x14ac:dyDescent="0.15">
      <c r="A117" s="27"/>
      <c r="B117" s="5"/>
      <c r="C117" s="28"/>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spans="1:31" ht="14" x14ac:dyDescent="0.15">
      <c r="A118" s="27"/>
      <c r="B118" s="5"/>
      <c r="C118" s="28"/>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spans="1:31" ht="14" x14ac:dyDescent="0.15">
      <c r="A119" s="27"/>
      <c r="B119" s="5"/>
      <c r="C119" s="28"/>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spans="1:31" ht="14" x14ac:dyDescent="0.15">
      <c r="A120" s="27"/>
      <c r="B120" s="5"/>
      <c r="C120" s="28"/>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spans="1:31" ht="14" x14ac:dyDescent="0.15">
      <c r="A121" s="27"/>
      <c r="B121" s="5"/>
      <c r="C121" s="28"/>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spans="1:31" ht="14" x14ac:dyDescent="0.15">
      <c r="A122" s="27"/>
      <c r="B122" s="5"/>
      <c r="C122" s="28"/>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spans="1:31" ht="14" x14ac:dyDescent="0.15">
      <c r="A123" s="27"/>
      <c r="B123" s="5"/>
      <c r="C123" s="28"/>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spans="1:31" ht="14" x14ac:dyDescent="0.15">
      <c r="A124" s="27"/>
      <c r="B124" s="5"/>
      <c r="C124" s="28"/>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spans="1:31" ht="14" x14ac:dyDescent="0.15">
      <c r="A125" s="27"/>
      <c r="B125" s="5"/>
      <c r="C125" s="28"/>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spans="1:31" ht="14" x14ac:dyDescent="0.15">
      <c r="A126" s="27"/>
      <c r="B126" s="5"/>
      <c r="C126" s="28"/>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spans="1:31" ht="14" x14ac:dyDescent="0.15">
      <c r="A127" s="27"/>
      <c r="B127" s="5"/>
      <c r="C127" s="28"/>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spans="1:31" ht="14" x14ac:dyDescent="0.15">
      <c r="A128" s="27"/>
      <c r="B128" s="5"/>
      <c r="C128" s="28"/>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spans="1:31" ht="14" x14ac:dyDescent="0.15">
      <c r="A129" s="27"/>
      <c r="B129" s="5"/>
      <c r="C129" s="28"/>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spans="1:31" ht="14" x14ac:dyDescent="0.15">
      <c r="A130" s="27"/>
      <c r="B130" s="5"/>
      <c r="C130" s="28"/>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spans="1:31" ht="14" x14ac:dyDescent="0.15">
      <c r="A131" s="27"/>
      <c r="B131" s="5"/>
      <c r="C131" s="28"/>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spans="1:31" ht="14" x14ac:dyDescent="0.15">
      <c r="A132" s="27"/>
      <c r="B132" s="5"/>
      <c r="C132" s="28"/>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spans="1:31" ht="14" x14ac:dyDescent="0.15">
      <c r="A133" s="27"/>
      <c r="B133" s="5"/>
      <c r="C133" s="28"/>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spans="1:31" ht="14" x14ac:dyDescent="0.15">
      <c r="A134" s="27"/>
      <c r="B134" s="5"/>
      <c r="C134" s="28"/>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spans="1:31" ht="14" x14ac:dyDescent="0.15">
      <c r="A135" s="27"/>
      <c r="B135" s="5"/>
      <c r="C135" s="28"/>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spans="1:31" ht="14" x14ac:dyDescent="0.15">
      <c r="A136" s="27"/>
      <c r="B136" s="5"/>
      <c r="C136" s="28"/>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spans="1:31" ht="14" x14ac:dyDescent="0.15">
      <c r="A137" s="27"/>
      <c r="B137" s="5"/>
      <c r="C137" s="28"/>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spans="1:31" ht="14" x14ac:dyDescent="0.15">
      <c r="A138" s="27"/>
      <c r="B138" s="5"/>
      <c r="C138" s="28"/>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spans="1:31" ht="14" x14ac:dyDescent="0.15">
      <c r="A139" s="27"/>
      <c r="B139" s="5"/>
      <c r="C139" s="28"/>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spans="1:31" ht="14" x14ac:dyDescent="0.15">
      <c r="A140" s="27"/>
      <c r="B140" s="5"/>
      <c r="C140" s="28"/>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spans="1:31" ht="14" x14ac:dyDescent="0.15">
      <c r="A141" s="27"/>
      <c r="B141" s="5"/>
      <c r="C141" s="28"/>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spans="1:31" ht="14" x14ac:dyDescent="0.15">
      <c r="A142" s="27"/>
      <c r="B142" s="5"/>
      <c r="C142" s="28"/>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spans="1:31" ht="14" x14ac:dyDescent="0.15">
      <c r="A143" s="27"/>
      <c r="B143" s="5"/>
      <c r="C143" s="28"/>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spans="1:31" ht="14" x14ac:dyDescent="0.15">
      <c r="A144" s="27"/>
      <c r="B144" s="5"/>
      <c r="C144" s="28"/>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spans="1:31" ht="14" x14ac:dyDescent="0.15">
      <c r="A145" s="27"/>
      <c r="B145" s="5"/>
      <c r="C145" s="28"/>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spans="1:31" ht="14" x14ac:dyDescent="0.15">
      <c r="A146" s="27"/>
      <c r="B146" s="5"/>
      <c r="C146" s="28"/>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spans="1:31" ht="14" x14ac:dyDescent="0.15">
      <c r="A147" s="27"/>
      <c r="B147" s="5"/>
      <c r="C147" s="28"/>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spans="1:31" ht="14" x14ac:dyDescent="0.15">
      <c r="A148" s="27"/>
      <c r="B148" s="5"/>
      <c r="C148" s="28"/>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spans="1:31" ht="14" x14ac:dyDescent="0.15">
      <c r="A149" s="27"/>
      <c r="B149" s="5"/>
      <c r="C149" s="28"/>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spans="1:31" ht="14" x14ac:dyDescent="0.15">
      <c r="A150" s="27"/>
      <c r="B150" s="5"/>
      <c r="C150" s="28"/>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spans="1:31" ht="14" x14ac:dyDescent="0.15">
      <c r="A151" s="27"/>
      <c r="B151" s="5"/>
      <c r="C151" s="28"/>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spans="1:31" ht="14" x14ac:dyDescent="0.15">
      <c r="A152" s="27"/>
      <c r="B152" s="5"/>
      <c r="C152" s="28"/>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spans="1:31" ht="14" x14ac:dyDescent="0.15">
      <c r="A153" s="27"/>
      <c r="B153" s="5"/>
      <c r="C153" s="28"/>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spans="1:31" ht="14" x14ac:dyDescent="0.15">
      <c r="A154" s="27"/>
      <c r="B154" s="5"/>
      <c r="C154" s="28"/>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spans="1:31" ht="14" x14ac:dyDescent="0.15">
      <c r="A155" s="27"/>
      <c r="B155" s="5"/>
      <c r="C155" s="28"/>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spans="1:31" ht="14" x14ac:dyDescent="0.15">
      <c r="A156" s="27"/>
      <c r="B156" s="5"/>
      <c r="C156" s="28"/>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spans="1:31" ht="14" x14ac:dyDescent="0.15">
      <c r="A157" s="27"/>
      <c r="B157" s="5"/>
      <c r="C157" s="28"/>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spans="1:31" ht="14" x14ac:dyDescent="0.15">
      <c r="A158" s="27"/>
      <c r="B158" s="5"/>
      <c r="C158" s="28"/>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spans="1:31" ht="14" x14ac:dyDescent="0.15">
      <c r="A159" s="27"/>
      <c r="B159" s="5"/>
      <c r="C159" s="28"/>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spans="1:31" ht="14" x14ac:dyDescent="0.15">
      <c r="A160" s="27"/>
      <c r="B160" s="5"/>
      <c r="C160" s="28"/>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spans="1:31" ht="14" x14ac:dyDescent="0.15">
      <c r="A161" s="27"/>
      <c r="B161" s="5"/>
      <c r="C161" s="28"/>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spans="1:31" ht="14" x14ac:dyDescent="0.15">
      <c r="A162" s="27"/>
      <c r="B162" s="5"/>
      <c r="C162" s="28"/>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spans="1:31" ht="14" x14ac:dyDescent="0.15">
      <c r="A163" s="27"/>
      <c r="B163" s="5"/>
      <c r="C163" s="28"/>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spans="1:31" ht="14" x14ac:dyDescent="0.15">
      <c r="A164" s="27"/>
      <c r="B164" s="5"/>
      <c r="C164" s="28"/>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spans="1:31" ht="14" x14ac:dyDescent="0.15">
      <c r="A165" s="27"/>
      <c r="B165" s="5"/>
      <c r="C165" s="28"/>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spans="1:31" ht="14" x14ac:dyDescent="0.15">
      <c r="A166" s="27"/>
      <c r="B166" s="5"/>
      <c r="C166" s="28"/>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spans="1:31" ht="14" x14ac:dyDescent="0.15">
      <c r="A167" s="27"/>
      <c r="B167" s="5"/>
      <c r="C167" s="28"/>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spans="1:31" ht="14" x14ac:dyDescent="0.15">
      <c r="A168" s="27"/>
      <c r="B168" s="5"/>
      <c r="C168" s="28"/>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spans="1:31" ht="14" x14ac:dyDescent="0.15">
      <c r="A169" s="27"/>
      <c r="B169" s="5"/>
      <c r="C169" s="28"/>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spans="1:31" ht="14" x14ac:dyDescent="0.15">
      <c r="A170" s="27"/>
      <c r="B170" s="5"/>
      <c r="C170" s="28"/>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spans="1:31" ht="14" x14ac:dyDescent="0.15">
      <c r="A171" s="27"/>
      <c r="B171" s="5"/>
      <c r="C171" s="28"/>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spans="1:31" ht="14" x14ac:dyDescent="0.15">
      <c r="A172" s="27"/>
      <c r="B172" s="5"/>
      <c r="C172" s="28"/>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spans="1:31" ht="14" x14ac:dyDescent="0.15">
      <c r="A173" s="27"/>
      <c r="B173" s="5"/>
      <c r="C173" s="28"/>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spans="1:31" ht="14" x14ac:dyDescent="0.15">
      <c r="A174" s="27"/>
      <c r="B174" s="5"/>
      <c r="C174" s="28"/>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spans="1:31" ht="14" x14ac:dyDescent="0.15">
      <c r="A175" s="27"/>
      <c r="B175" s="5"/>
      <c r="C175" s="28"/>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spans="1:31" ht="14" x14ac:dyDescent="0.15">
      <c r="A176" s="27"/>
      <c r="B176" s="5"/>
      <c r="C176" s="28"/>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spans="1:31" ht="14" x14ac:dyDescent="0.15">
      <c r="A177" s="27"/>
      <c r="B177" s="5"/>
      <c r="C177" s="28"/>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spans="1:31" ht="14" x14ac:dyDescent="0.15">
      <c r="A178" s="27"/>
      <c r="B178" s="5"/>
      <c r="C178" s="28"/>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spans="1:31" ht="14" x14ac:dyDescent="0.15">
      <c r="A179" s="27"/>
      <c r="B179" s="5"/>
      <c r="C179" s="28"/>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spans="1:31" ht="14" x14ac:dyDescent="0.15">
      <c r="A180" s="27"/>
      <c r="B180" s="5"/>
      <c r="C180" s="28"/>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spans="1:31" ht="14" x14ac:dyDescent="0.15">
      <c r="A181" s="27"/>
      <c r="B181" s="5"/>
      <c r="C181" s="28"/>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spans="1:31" ht="14" x14ac:dyDescent="0.15">
      <c r="A182" s="27"/>
      <c r="B182" s="5"/>
      <c r="C182" s="28"/>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spans="1:31" ht="14" x14ac:dyDescent="0.15">
      <c r="A183" s="27"/>
      <c r="B183" s="5"/>
      <c r="C183" s="28"/>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spans="1:31" ht="14" x14ac:dyDescent="0.15">
      <c r="A184" s="27"/>
      <c r="B184" s="5"/>
      <c r="C184" s="28"/>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spans="1:31" ht="14" x14ac:dyDescent="0.15">
      <c r="A185" s="27"/>
      <c r="B185" s="5"/>
      <c r="C185" s="28"/>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spans="1:31" ht="14" x14ac:dyDescent="0.15">
      <c r="A186" s="27"/>
      <c r="B186" s="5"/>
      <c r="C186" s="28"/>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spans="1:31" ht="14" x14ac:dyDescent="0.15">
      <c r="A187" s="27"/>
      <c r="B187" s="5"/>
      <c r="C187" s="28"/>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spans="1:31" ht="14" x14ac:dyDescent="0.15">
      <c r="A188" s="27"/>
      <c r="B188" s="5"/>
      <c r="C188" s="28"/>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spans="1:31" ht="14" x14ac:dyDescent="0.15">
      <c r="A189" s="27"/>
      <c r="B189" s="5"/>
      <c r="C189" s="28"/>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spans="1:31" ht="14" x14ac:dyDescent="0.15">
      <c r="A190" s="27"/>
      <c r="B190" s="5"/>
      <c r="C190" s="28"/>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spans="1:31" ht="14" x14ac:dyDescent="0.15">
      <c r="A191" s="27"/>
      <c r="B191" s="5"/>
      <c r="C191" s="28"/>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spans="1:31" ht="14" x14ac:dyDescent="0.15">
      <c r="A192" s="27"/>
      <c r="B192" s="5"/>
      <c r="C192" s="28"/>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spans="1:31" ht="14" x14ac:dyDescent="0.15">
      <c r="A193" s="27"/>
      <c r="B193" s="5"/>
      <c r="C193" s="28"/>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spans="1:31" ht="14" x14ac:dyDescent="0.15">
      <c r="A194" s="27"/>
      <c r="B194" s="5"/>
      <c r="C194" s="28"/>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spans="1:31" ht="14" x14ac:dyDescent="0.15">
      <c r="A195" s="27"/>
      <c r="B195" s="5"/>
      <c r="C195" s="28"/>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spans="1:31" ht="14" x14ac:dyDescent="0.15">
      <c r="A196" s="27"/>
      <c r="B196" s="5"/>
      <c r="C196" s="28"/>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spans="1:31" ht="14" x14ac:dyDescent="0.15">
      <c r="A197" s="27"/>
      <c r="B197" s="5"/>
      <c r="C197" s="28"/>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spans="1:31" ht="14" x14ac:dyDescent="0.15">
      <c r="A198" s="27"/>
      <c r="B198" s="5"/>
      <c r="C198" s="28"/>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spans="1:31" ht="14" x14ac:dyDescent="0.15">
      <c r="A199" s="27"/>
      <c r="B199" s="5"/>
      <c r="C199" s="28"/>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spans="1:31" ht="14" x14ac:dyDescent="0.15">
      <c r="A200" s="27"/>
      <c r="B200" s="5"/>
      <c r="C200" s="28"/>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spans="1:31" ht="14" x14ac:dyDescent="0.15">
      <c r="A201" s="27"/>
      <c r="B201" s="5"/>
      <c r="C201" s="28"/>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spans="1:31" ht="14" x14ac:dyDescent="0.15">
      <c r="A202" s="27"/>
      <c r="B202" s="5"/>
      <c r="C202" s="28"/>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spans="1:31" ht="14" x14ac:dyDescent="0.15">
      <c r="A203" s="27"/>
      <c r="B203" s="5"/>
      <c r="C203" s="28"/>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spans="1:31" ht="14" x14ac:dyDescent="0.15">
      <c r="A204" s="27"/>
      <c r="B204" s="5"/>
      <c r="C204" s="28"/>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spans="1:31" ht="14" x14ac:dyDescent="0.15">
      <c r="A205" s="27"/>
      <c r="B205" s="5"/>
      <c r="C205" s="28"/>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spans="1:31" ht="14" x14ac:dyDescent="0.15">
      <c r="A206" s="27"/>
      <c r="B206" s="5"/>
      <c r="C206" s="28"/>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spans="1:31" ht="14" x14ac:dyDescent="0.15">
      <c r="A207" s="27"/>
      <c r="B207" s="5"/>
      <c r="C207" s="28"/>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spans="1:31" ht="14" x14ac:dyDescent="0.15">
      <c r="A208" s="27"/>
      <c r="B208" s="5"/>
      <c r="C208" s="28"/>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spans="1:31" ht="14" x14ac:dyDescent="0.15">
      <c r="A209" s="27"/>
      <c r="B209" s="5"/>
      <c r="C209" s="28"/>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spans="1:31" ht="14" x14ac:dyDescent="0.15">
      <c r="A210" s="27"/>
      <c r="B210" s="5"/>
      <c r="C210" s="28"/>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spans="1:31" ht="14" x14ac:dyDescent="0.15">
      <c r="A211" s="27"/>
      <c r="B211" s="5"/>
      <c r="C211" s="28"/>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spans="1:31" ht="14" x14ac:dyDescent="0.15">
      <c r="A212" s="27"/>
      <c r="B212" s="5"/>
      <c r="C212" s="28"/>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spans="1:31" ht="14" x14ac:dyDescent="0.15">
      <c r="A213" s="27"/>
      <c r="B213" s="5"/>
      <c r="C213" s="28"/>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spans="1:31" ht="14" x14ac:dyDescent="0.15">
      <c r="A214" s="27"/>
      <c r="B214" s="5"/>
      <c r="C214" s="28"/>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spans="1:31" ht="14" x14ac:dyDescent="0.15">
      <c r="A215" s="27"/>
      <c r="B215" s="5"/>
      <c r="C215" s="28"/>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spans="1:31" ht="14" x14ac:dyDescent="0.15">
      <c r="A216" s="27"/>
      <c r="B216" s="5"/>
      <c r="C216" s="28"/>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spans="1:31" ht="14" x14ac:dyDescent="0.15">
      <c r="A217" s="27"/>
      <c r="B217" s="5"/>
      <c r="C217" s="28"/>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spans="1:31" ht="14" x14ac:dyDescent="0.15">
      <c r="A218" s="27"/>
      <c r="B218" s="5"/>
      <c r="C218" s="28"/>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spans="1:31" ht="14" x14ac:dyDescent="0.15">
      <c r="A219" s="27"/>
      <c r="B219" s="5"/>
      <c r="C219" s="28"/>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spans="1:31" ht="14" x14ac:dyDescent="0.15">
      <c r="A220" s="27"/>
      <c r="B220" s="5"/>
      <c r="C220" s="28"/>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spans="1:31" ht="14" x14ac:dyDescent="0.15">
      <c r="A221" s="27"/>
      <c r="B221" s="5"/>
      <c r="C221" s="28"/>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spans="1:31" ht="14" x14ac:dyDescent="0.15">
      <c r="A222" s="27"/>
      <c r="B222" s="5"/>
      <c r="C222" s="28"/>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spans="1:31" ht="14" x14ac:dyDescent="0.15">
      <c r="A223" s="27"/>
      <c r="B223" s="5"/>
      <c r="C223" s="28"/>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spans="1:31" ht="14" x14ac:dyDescent="0.15">
      <c r="A224" s="27"/>
      <c r="B224" s="5"/>
      <c r="C224" s="28"/>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spans="1:31" ht="14" x14ac:dyDescent="0.15">
      <c r="A225" s="27"/>
      <c r="B225" s="5"/>
      <c r="C225" s="28"/>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spans="1:31" ht="14" x14ac:dyDescent="0.15">
      <c r="A226" s="27"/>
      <c r="B226" s="5"/>
      <c r="C226" s="28"/>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spans="1:31" ht="14" x14ac:dyDescent="0.15">
      <c r="A227" s="27"/>
      <c r="B227" s="5"/>
      <c r="C227" s="28"/>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spans="1:31" ht="14" x14ac:dyDescent="0.15">
      <c r="A228" s="27"/>
      <c r="B228" s="5"/>
      <c r="C228" s="28"/>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spans="1:31" ht="14" x14ac:dyDescent="0.15">
      <c r="A229" s="27"/>
      <c r="B229" s="5"/>
      <c r="C229" s="28"/>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spans="1:31" ht="14" x14ac:dyDescent="0.15">
      <c r="A230" s="27"/>
      <c r="B230" s="5"/>
      <c r="C230" s="28"/>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spans="1:31" ht="14" x14ac:dyDescent="0.15">
      <c r="A231" s="27"/>
      <c r="B231" s="5"/>
      <c r="C231" s="28"/>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spans="1:31" ht="14" x14ac:dyDescent="0.15">
      <c r="A232" s="27"/>
      <c r="B232" s="5"/>
      <c r="C232" s="28"/>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spans="1:31" ht="14" x14ac:dyDescent="0.15">
      <c r="A233" s="27"/>
      <c r="B233" s="5"/>
      <c r="C233" s="28"/>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spans="1:31" ht="14" x14ac:dyDescent="0.15">
      <c r="A234" s="27"/>
      <c r="B234" s="5"/>
      <c r="C234" s="28"/>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spans="1:31" ht="14" x14ac:dyDescent="0.15">
      <c r="A235" s="27"/>
      <c r="B235" s="5"/>
      <c r="C235" s="28"/>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spans="1:31" ht="14" x14ac:dyDescent="0.15">
      <c r="A236" s="27"/>
      <c r="B236" s="5"/>
      <c r="C236" s="28"/>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spans="1:31" ht="14" x14ac:dyDescent="0.15">
      <c r="A237" s="27"/>
      <c r="B237" s="5"/>
      <c r="C237" s="28"/>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spans="1:31" ht="14" x14ac:dyDescent="0.15">
      <c r="A238" s="27"/>
      <c r="B238" s="5"/>
      <c r="C238" s="28"/>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spans="1:31" ht="14" x14ac:dyDescent="0.15">
      <c r="A239" s="27"/>
      <c r="B239" s="5"/>
      <c r="C239" s="28"/>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spans="1:31" ht="14" x14ac:dyDescent="0.15">
      <c r="A240" s="27"/>
      <c r="B240" s="5"/>
      <c r="C240" s="28"/>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spans="1:31" ht="14" x14ac:dyDescent="0.15">
      <c r="A241" s="27"/>
      <c r="B241" s="5"/>
      <c r="C241" s="28"/>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spans="1:31" ht="14" x14ac:dyDescent="0.15">
      <c r="A242" s="27"/>
      <c r="B242" s="5"/>
      <c r="C242" s="28"/>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spans="1:31" ht="14" x14ac:dyDescent="0.15">
      <c r="A243" s="27"/>
      <c r="B243" s="5"/>
      <c r="C243" s="28"/>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spans="1:31" ht="14" x14ac:dyDescent="0.15">
      <c r="A244" s="27"/>
      <c r="B244" s="5"/>
      <c r="C244" s="28"/>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spans="1:31" ht="14" x14ac:dyDescent="0.15">
      <c r="A245" s="27"/>
      <c r="B245" s="5"/>
      <c r="C245" s="28"/>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spans="1:31" ht="14" x14ac:dyDescent="0.15">
      <c r="A246" s="27"/>
      <c r="B246" s="5"/>
      <c r="C246" s="28"/>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spans="1:31" ht="14" x14ac:dyDescent="0.15">
      <c r="A247" s="27"/>
      <c r="B247" s="5"/>
      <c r="C247" s="28"/>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spans="1:31" ht="14" x14ac:dyDescent="0.15">
      <c r="A248" s="27"/>
      <c r="B248" s="5"/>
      <c r="C248" s="28"/>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spans="1:31" ht="14" x14ac:dyDescent="0.15">
      <c r="A249" s="27"/>
      <c r="B249" s="5"/>
      <c r="C249" s="28"/>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spans="1:31" ht="14" x14ac:dyDescent="0.15">
      <c r="A250" s="27"/>
      <c r="B250" s="5"/>
      <c r="C250" s="28"/>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spans="1:31" ht="14" x14ac:dyDescent="0.15">
      <c r="A251" s="27"/>
      <c r="B251" s="5"/>
      <c r="C251" s="28"/>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spans="1:31" ht="14" x14ac:dyDescent="0.15">
      <c r="A252" s="27"/>
      <c r="B252" s="5"/>
      <c r="C252" s="28"/>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spans="1:31" ht="14" x14ac:dyDescent="0.15">
      <c r="A253" s="27"/>
      <c r="B253" s="5"/>
      <c r="C253" s="28"/>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spans="1:31" ht="14" x14ac:dyDescent="0.15">
      <c r="A254" s="27"/>
      <c r="B254" s="5"/>
      <c r="C254" s="28"/>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spans="1:31" ht="14" x14ac:dyDescent="0.15">
      <c r="A255" s="27"/>
      <c r="B255" s="5"/>
      <c r="C255" s="28"/>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spans="1:31" ht="14" x14ac:dyDescent="0.15">
      <c r="A256" s="27"/>
      <c r="B256" s="5"/>
      <c r="C256" s="28"/>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spans="1:31" ht="14" x14ac:dyDescent="0.15">
      <c r="A257" s="27"/>
      <c r="B257" s="5"/>
      <c r="C257" s="28"/>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spans="1:31" ht="14" x14ac:dyDescent="0.15">
      <c r="A258" s="27"/>
      <c r="B258" s="5"/>
      <c r="C258" s="28"/>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spans="1:31" ht="14" x14ac:dyDescent="0.15">
      <c r="A259" s="27"/>
      <c r="B259" s="5"/>
      <c r="C259" s="28"/>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spans="1:31" ht="14" x14ac:dyDescent="0.15">
      <c r="A260" s="27"/>
      <c r="B260" s="5"/>
      <c r="C260" s="28"/>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spans="1:31" ht="14" x14ac:dyDescent="0.15">
      <c r="A261" s="27"/>
      <c r="B261" s="5"/>
      <c r="C261" s="28"/>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spans="1:31" ht="14" x14ac:dyDescent="0.15">
      <c r="A262" s="27"/>
      <c r="B262" s="5"/>
      <c r="C262" s="28"/>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spans="1:31" ht="14" x14ac:dyDescent="0.15">
      <c r="A263" s="27"/>
      <c r="B263" s="5"/>
      <c r="C263" s="28"/>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spans="1:31" ht="14" x14ac:dyDescent="0.15">
      <c r="A264" s="27"/>
      <c r="B264" s="5"/>
      <c r="C264" s="28"/>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spans="1:31" ht="14" x14ac:dyDescent="0.15">
      <c r="A265" s="27"/>
      <c r="B265" s="5"/>
      <c r="C265" s="28"/>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spans="1:31" ht="14" x14ac:dyDescent="0.15">
      <c r="A266" s="27"/>
      <c r="B266" s="5"/>
      <c r="C266" s="28"/>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spans="1:31" ht="14" x14ac:dyDescent="0.15">
      <c r="A267" s="27"/>
      <c r="B267" s="5"/>
      <c r="C267" s="28"/>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spans="1:31" ht="14" x14ac:dyDescent="0.15">
      <c r="A268" s="27"/>
      <c r="B268" s="5"/>
      <c r="C268" s="28"/>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spans="1:31" ht="14" x14ac:dyDescent="0.15">
      <c r="A269" s="27"/>
      <c r="B269" s="5"/>
      <c r="C269" s="28"/>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spans="1:31" ht="14" x14ac:dyDescent="0.15">
      <c r="A270" s="27"/>
      <c r="B270" s="5"/>
      <c r="C270" s="28"/>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spans="1:31" ht="14" x14ac:dyDescent="0.15">
      <c r="A271" s="27"/>
      <c r="B271" s="5"/>
      <c r="C271" s="28"/>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spans="1:31" ht="14" x14ac:dyDescent="0.15">
      <c r="A272" s="27"/>
      <c r="B272" s="5"/>
      <c r="C272" s="28"/>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spans="1:31" ht="14" x14ac:dyDescent="0.15">
      <c r="A273" s="27"/>
      <c r="B273" s="5"/>
      <c r="C273" s="28"/>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spans="1:31" ht="14" x14ac:dyDescent="0.15">
      <c r="A274" s="27"/>
      <c r="B274" s="5"/>
      <c r="C274" s="28"/>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spans="1:31" ht="14" x14ac:dyDescent="0.15">
      <c r="A275" s="27"/>
      <c r="B275" s="5"/>
      <c r="C275" s="28"/>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spans="1:31" ht="14" x14ac:dyDescent="0.15">
      <c r="A276" s="27"/>
      <c r="B276" s="5"/>
      <c r="C276" s="28"/>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spans="1:31" ht="14" x14ac:dyDescent="0.15">
      <c r="A277" s="27"/>
      <c r="B277" s="5"/>
      <c r="C277" s="28"/>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spans="1:31" ht="14" x14ac:dyDescent="0.15">
      <c r="A278" s="27"/>
      <c r="B278" s="5"/>
      <c r="C278" s="28"/>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spans="1:31" ht="14" x14ac:dyDescent="0.15">
      <c r="A279" s="27"/>
      <c r="B279" s="5"/>
      <c r="C279" s="28"/>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spans="1:31" ht="14" x14ac:dyDescent="0.15">
      <c r="A280" s="27"/>
      <c r="B280" s="5"/>
      <c r="C280" s="28"/>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spans="1:31" ht="14" x14ac:dyDescent="0.15">
      <c r="A281" s="27"/>
      <c r="B281" s="5"/>
      <c r="C281" s="28"/>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spans="1:31" ht="14" x14ac:dyDescent="0.15">
      <c r="A282" s="27"/>
      <c r="B282" s="5"/>
      <c r="C282" s="28"/>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spans="1:31" ht="14" x14ac:dyDescent="0.15">
      <c r="A283" s="27"/>
      <c r="B283" s="5"/>
      <c r="C283" s="28"/>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spans="1:31" ht="14" x14ac:dyDescent="0.15">
      <c r="A284" s="27"/>
      <c r="B284" s="5"/>
      <c r="C284" s="28"/>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spans="1:31" ht="14" x14ac:dyDescent="0.15">
      <c r="A285" s="27"/>
      <c r="B285" s="5"/>
      <c r="C285" s="28"/>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spans="1:31" ht="14" x14ac:dyDescent="0.15">
      <c r="A286" s="27"/>
      <c r="B286" s="5"/>
      <c r="C286" s="28"/>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spans="1:31" ht="14" x14ac:dyDescent="0.15">
      <c r="A287" s="27"/>
      <c r="B287" s="5"/>
      <c r="C287" s="28"/>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spans="1:31" ht="14" x14ac:dyDescent="0.15">
      <c r="A288" s="27"/>
      <c r="B288" s="5"/>
      <c r="C288" s="28"/>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spans="1:31" ht="14" x14ac:dyDescent="0.15">
      <c r="A289" s="27"/>
      <c r="B289" s="5"/>
      <c r="C289" s="28"/>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spans="1:31" ht="14" x14ac:dyDescent="0.15">
      <c r="A290" s="27"/>
      <c r="B290" s="5"/>
      <c r="C290" s="28"/>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spans="1:31" ht="14" x14ac:dyDescent="0.15">
      <c r="A291" s="27"/>
      <c r="B291" s="5"/>
      <c r="C291" s="28"/>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spans="1:31" ht="14" x14ac:dyDescent="0.15">
      <c r="A292" s="27"/>
      <c r="B292" s="5"/>
      <c r="C292" s="28"/>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spans="1:31" ht="14" x14ac:dyDescent="0.15">
      <c r="A293" s="27"/>
      <c r="B293" s="5"/>
      <c r="C293" s="28"/>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spans="1:31" ht="14" x14ac:dyDescent="0.15">
      <c r="A294" s="27"/>
      <c r="B294" s="5"/>
      <c r="C294" s="28"/>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spans="1:31" ht="14" x14ac:dyDescent="0.15">
      <c r="A295" s="27"/>
      <c r="B295" s="5"/>
      <c r="C295" s="28"/>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spans="1:31" ht="14" x14ac:dyDescent="0.15">
      <c r="A296" s="27"/>
      <c r="B296" s="5"/>
      <c r="C296" s="28"/>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spans="1:31" ht="14" x14ac:dyDescent="0.15">
      <c r="A297" s="27"/>
      <c r="B297" s="5"/>
      <c r="C297" s="28"/>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spans="1:31" ht="14" x14ac:dyDescent="0.15">
      <c r="A298" s="27"/>
      <c r="B298" s="5"/>
      <c r="C298" s="28"/>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spans="1:31" ht="14" x14ac:dyDescent="0.15">
      <c r="A299" s="27"/>
      <c r="B299" s="5"/>
      <c r="C299" s="28"/>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spans="1:31" ht="14" x14ac:dyDescent="0.15">
      <c r="A300" s="27"/>
      <c r="B300" s="5"/>
      <c r="C300" s="28"/>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spans="1:31" ht="14" x14ac:dyDescent="0.15">
      <c r="A301" s="27"/>
      <c r="B301" s="5"/>
      <c r="C301" s="28"/>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spans="1:31" ht="14" x14ac:dyDescent="0.15">
      <c r="A302" s="27"/>
      <c r="B302" s="5"/>
      <c r="C302" s="28"/>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spans="1:31" ht="14" x14ac:dyDescent="0.15">
      <c r="A303" s="27"/>
      <c r="B303" s="5"/>
      <c r="C303" s="28"/>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spans="1:31" ht="14" x14ac:dyDescent="0.15">
      <c r="A304" s="27"/>
      <c r="B304" s="5"/>
      <c r="C304" s="28"/>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spans="1:31" ht="14" x14ac:dyDescent="0.15">
      <c r="A305" s="27"/>
      <c r="B305" s="5"/>
      <c r="C305" s="28"/>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spans="1:31" ht="14" x14ac:dyDescent="0.15">
      <c r="A306" s="27"/>
      <c r="B306" s="5"/>
      <c r="C306" s="28"/>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spans="1:31" ht="14" x14ac:dyDescent="0.15">
      <c r="A307" s="27"/>
      <c r="B307" s="5"/>
      <c r="C307" s="28"/>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spans="1:31" ht="14" x14ac:dyDescent="0.15">
      <c r="A308" s="27"/>
      <c r="B308" s="5"/>
      <c r="C308" s="28"/>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spans="1:31" ht="14" x14ac:dyDescent="0.15">
      <c r="A309" s="27"/>
      <c r="B309" s="5"/>
      <c r="C309" s="28"/>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spans="1:31" ht="14" x14ac:dyDescent="0.15">
      <c r="A310" s="27"/>
      <c r="B310" s="5"/>
      <c r="C310" s="28"/>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spans="1:31" ht="14" x14ac:dyDescent="0.15">
      <c r="A311" s="27"/>
      <c r="B311" s="5"/>
      <c r="C311" s="28"/>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spans="1:31" ht="14" x14ac:dyDescent="0.15">
      <c r="A312" s="27"/>
      <c r="B312" s="5"/>
      <c r="C312" s="28"/>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spans="1:31" ht="14" x14ac:dyDescent="0.15">
      <c r="A313" s="27"/>
      <c r="B313" s="5"/>
      <c r="C313" s="28"/>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spans="1:31" ht="14" x14ac:dyDescent="0.15">
      <c r="A314" s="27"/>
      <c r="B314" s="5"/>
      <c r="C314" s="28"/>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spans="1:31" ht="14" x14ac:dyDescent="0.15">
      <c r="A315" s="27"/>
      <c r="B315" s="5"/>
      <c r="C315" s="28"/>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spans="1:31" ht="14" x14ac:dyDescent="0.15">
      <c r="A316" s="27"/>
      <c r="B316" s="5"/>
      <c r="C316" s="28"/>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spans="1:31" ht="14" x14ac:dyDescent="0.15">
      <c r="A317" s="27"/>
      <c r="B317" s="5"/>
      <c r="C317" s="28"/>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spans="1:31" ht="14" x14ac:dyDescent="0.15">
      <c r="A318" s="27"/>
      <c r="B318" s="5"/>
      <c r="C318" s="28"/>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spans="1:31" ht="14" x14ac:dyDescent="0.15">
      <c r="A319" s="27"/>
      <c r="B319" s="5"/>
      <c r="C319" s="28"/>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spans="1:31" ht="14" x14ac:dyDescent="0.15">
      <c r="A320" s="27"/>
      <c r="B320" s="5"/>
      <c r="C320" s="28"/>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spans="1:31" ht="14" x14ac:dyDescent="0.15">
      <c r="A321" s="27"/>
      <c r="B321" s="5"/>
      <c r="C321" s="28"/>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spans="1:31" ht="14" x14ac:dyDescent="0.15">
      <c r="A322" s="27"/>
      <c r="B322" s="5"/>
      <c r="C322" s="28"/>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spans="1:31" ht="14" x14ac:dyDescent="0.15">
      <c r="A323" s="27"/>
      <c r="B323" s="5"/>
      <c r="C323" s="28"/>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spans="1:31" ht="14" x14ac:dyDescent="0.15">
      <c r="A324" s="27"/>
      <c r="B324" s="5"/>
      <c r="C324" s="28"/>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spans="1:31" ht="14" x14ac:dyDescent="0.15">
      <c r="A325" s="27"/>
      <c r="B325" s="5"/>
      <c r="C325" s="28"/>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spans="1:31" ht="14" x14ac:dyDescent="0.15">
      <c r="A326" s="27"/>
      <c r="B326" s="5"/>
      <c r="C326" s="28"/>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spans="1:31" ht="14" x14ac:dyDescent="0.15">
      <c r="A327" s="27"/>
      <c r="B327" s="5"/>
      <c r="C327" s="28"/>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spans="1:31" ht="14" x14ac:dyDescent="0.15">
      <c r="A328" s="27"/>
      <c r="B328" s="5"/>
      <c r="C328" s="28"/>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spans="1:31" ht="14" x14ac:dyDescent="0.15">
      <c r="A329" s="27"/>
      <c r="B329" s="5"/>
      <c r="C329" s="28"/>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spans="1:31" ht="14" x14ac:dyDescent="0.15">
      <c r="A330" s="27"/>
      <c r="B330" s="5"/>
      <c r="C330" s="28"/>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spans="1:31" ht="14" x14ac:dyDescent="0.15">
      <c r="A331" s="27"/>
      <c r="B331" s="5"/>
      <c r="C331" s="28"/>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spans="1:31" ht="14" x14ac:dyDescent="0.15">
      <c r="A332" s="27"/>
      <c r="B332" s="5"/>
      <c r="C332" s="28"/>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spans="1:31" ht="14" x14ac:dyDescent="0.15">
      <c r="A333" s="27"/>
      <c r="B333" s="5"/>
      <c r="C333" s="28"/>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spans="1:31" ht="14" x14ac:dyDescent="0.15">
      <c r="A334" s="27"/>
      <c r="B334" s="5"/>
      <c r="C334" s="28"/>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spans="1:31" ht="14" x14ac:dyDescent="0.15">
      <c r="A335" s="27"/>
      <c r="B335" s="5"/>
      <c r="C335" s="28"/>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spans="1:31" ht="14" x14ac:dyDescent="0.15">
      <c r="A336" s="27"/>
      <c r="B336" s="5"/>
      <c r="C336" s="28"/>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spans="1:31" ht="14" x14ac:dyDescent="0.15">
      <c r="A337" s="27"/>
      <c r="B337" s="5"/>
      <c r="C337" s="28"/>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spans="1:31" ht="14" x14ac:dyDescent="0.15">
      <c r="A338" s="27"/>
      <c r="B338" s="5"/>
      <c r="C338" s="28"/>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spans="1:31" ht="14" x14ac:dyDescent="0.15">
      <c r="A339" s="27"/>
      <c r="B339" s="5"/>
      <c r="C339" s="28"/>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spans="1:31" ht="14" x14ac:dyDescent="0.15">
      <c r="A340" s="27"/>
      <c r="B340" s="5"/>
      <c r="C340" s="28"/>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spans="1:31" ht="14" x14ac:dyDescent="0.15">
      <c r="A341" s="27"/>
      <c r="B341" s="5"/>
      <c r="C341" s="28"/>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spans="1:31" ht="14" x14ac:dyDescent="0.15">
      <c r="A342" s="27"/>
      <c r="B342" s="5"/>
      <c r="C342" s="28"/>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spans="1:31" ht="14" x14ac:dyDescent="0.15">
      <c r="A343" s="27"/>
      <c r="B343" s="5"/>
      <c r="C343" s="28"/>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spans="1:31" ht="14" x14ac:dyDescent="0.15">
      <c r="A344" s="27"/>
      <c r="B344" s="5"/>
      <c r="C344" s="28"/>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spans="1:31" ht="14" x14ac:dyDescent="0.15">
      <c r="A345" s="27"/>
      <c r="B345" s="5"/>
      <c r="C345" s="28"/>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spans="1:31" ht="14" x14ac:dyDescent="0.15">
      <c r="A346" s="27"/>
      <c r="B346" s="5"/>
      <c r="C346" s="28"/>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spans="1:31" ht="14" x14ac:dyDescent="0.15">
      <c r="A347" s="27"/>
      <c r="B347" s="5"/>
      <c r="C347" s="28"/>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spans="1:31" ht="14" x14ac:dyDescent="0.15">
      <c r="A348" s="27"/>
      <c r="B348" s="5"/>
      <c r="C348" s="28"/>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spans="1:31" ht="14" x14ac:dyDescent="0.15">
      <c r="A349" s="27"/>
      <c r="B349" s="5"/>
      <c r="C349" s="28"/>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spans="1:31" ht="14" x14ac:dyDescent="0.15">
      <c r="A350" s="27"/>
      <c r="B350" s="5"/>
      <c r="C350" s="28"/>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spans="1:31" ht="14" x14ac:dyDescent="0.15">
      <c r="A351" s="27"/>
      <c r="B351" s="5"/>
      <c r="C351" s="28"/>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spans="1:31" ht="14" x14ac:dyDescent="0.15">
      <c r="A352" s="27"/>
      <c r="B352" s="5"/>
      <c r="C352" s="28"/>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spans="1:31" ht="14" x14ac:dyDescent="0.15">
      <c r="A353" s="27"/>
      <c r="B353" s="5"/>
      <c r="C353" s="28"/>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spans="1:31" ht="14" x14ac:dyDescent="0.15">
      <c r="A354" s="27"/>
      <c r="B354" s="5"/>
      <c r="C354" s="28"/>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spans="1:31" ht="14" x14ac:dyDescent="0.15">
      <c r="A355" s="27"/>
      <c r="B355" s="5"/>
      <c r="C355" s="28"/>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spans="1:31" ht="14" x14ac:dyDescent="0.15">
      <c r="A356" s="27"/>
      <c r="B356" s="5"/>
      <c r="C356" s="28"/>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spans="1:31" ht="14" x14ac:dyDescent="0.15">
      <c r="A357" s="27"/>
      <c r="B357" s="5"/>
      <c r="C357" s="28"/>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spans="1:31" ht="14" x14ac:dyDescent="0.15">
      <c r="A358" s="27"/>
      <c r="B358" s="5"/>
      <c r="C358" s="28"/>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spans="1:31" ht="14" x14ac:dyDescent="0.15">
      <c r="A359" s="27"/>
      <c r="B359" s="5"/>
      <c r="C359" s="28"/>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spans="1:31" ht="14" x14ac:dyDescent="0.15">
      <c r="A360" s="27"/>
      <c r="B360" s="5"/>
      <c r="C360" s="28"/>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spans="1:31" ht="14" x14ac:dyDescent="0.15">
      <c r="A361" s="27"/>
      <c r="B361" s="5"/>
      <c r="C361" s="28"/>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spans="1:31" ht="14" x14ac:dyDescent="0.15">
      <c r="A362" s="27"/>
      <c r="B362" s="5"/>
      <c r="C362" s="28"/>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spans="1:31" ht="14" x14ac:dyDescent="0.15">
      <c r="A363" s="27"/>
      <c r="B363" s="5"/>
      <c r="C363" s="28"/>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spans="1:31" ht="14" x14ac:dyDescent="0.15">
      <c r="A364" s="27"/>
      <c r="B364" s="5"/>
      <c r="C364" s="28"/>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spans="1:31" ht="14" x14ac:dyDescent="0.15">
      <c r="A365" s="27"/>
      <c r="B365" s="5"/>
      <c r="C365" s="28"/>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spans="1:31" ht="14" x14ac:dyDescent="0.15">
      <c r="A366" s="27"/>
      <c r="B366" s="5"/>
      <c r="C366" s="28"/>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spans="1:31" ht="14" x14ac:dyDescent="0.15">
      <c r="A367" s="27"/>
      <c r="B367" s="5"/>
      <c r="C367" s="28"/>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spans="1:31" ht="14" x14ac:dyDescent="0.15">
      <c r="A368" s="27"/>
      <c r="B368" s="5"/>
      <c r="C368" s="28"/>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spans="1:31" ht="14" x14ac:dyDescent="0.15">
      <c r="A369" s="27"/>
      <c r="B369" s="5"/>
      <c r="C369" s="28"/>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spans="1:31" ht="14" x14ac:dyDescent="0.15">
      <c r="A370" s="27"/>
      <c r="B370" s="5"/>
      <c r="C370" s="28"/>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spans="1:31" ht="14" x14ac:dyDescent="0.15">
      <c r="A371" s="27"/>
      <c r="B371" s="5"/>
      <c r="C371" s="28"/>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spans="1:31" ht="14" x14ac:dyDescent="0.15">
      <c r="A372" s="27"/>
      <c r="B372" s="5"/>
      <c r="C372" s="28"/>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spans="1:31" ht="14" x14ac:dyDescent="0.15">
      <c r="A373" s="27"/>
      <c r="B373" s="5"/>
      <c r="C373" s="28"/>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spans="1:31" ht="14" x14ac:dyDescent="0.15">
      <c r="A374" s="27"/>
      <c r="B374" s="5"/>
      <c r="C374" s="28"/>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spans="1:31" ht="14" x14ac:dyDescent="0.15">
      <c r="A375" s="27"/>
      <c r="B375" s="5"/>
      <c r="C375" s="28"/>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spans="1:31" ht="14" x14ac:dyDescent="0.15">
      <c r="A376" s="27"/>
      <c r="B376" s="5"/>
      <c r="C376" s="28"/>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spans="1:31" ht="14" x14ac:dyDescent="0.15">
      <c r="A377" s="27"/>
      <c r="B377" s="5"/>
      <c r="C377" s="28"/>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spans="1:31" ht="14" x14ac:dyDescent="0.15">
      <c r="A378" s="27"/>
      <c r="B378" s="5"/>
      <c r="C378" s="28"/>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spans="1:31" ht="14" x14ac:dyDescent="0.15">
      <c r="A379" s="27"/>
      <c r="B379" s="5"/>
      <c r="C379" s="28"/>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spans="1:31" ht="14" x14ac:dyDescent="0.15">
      <c r="A380" s="27"/>
      <c r="B380" s="5"/>
      <c r="C380" s="28"/>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spans="1:31" ht="14" x14ac:dyDescent="0.15">
      <c r="A381" s="27"/>
      <c r="B381" s="5"/>
      <c r="C381" s="28"/>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spans="1:31" ht="14" x14ac:dyDescent="0.15">
      <c r="A382" s="27"/>
      <c r="B382" s="5"/>
      <c r="C382" s="28"/>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spans="1:31" ht="14" x14ac:dyDescent="0.15">
      <c r="A383" s="27"/>
      <c r="B383" s="5"/>
      <c r="C383" s="28"/>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spans="1:31" ht="14" x14ac:dyDescent="0.15">
      <c r="A384" s="27"/>
      <c r="B384" s="5"/>
      <c r="C384" s="28"/>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spans="1:31" ht="14" x14ac:dyDescent="0.15">
      <c r="A385" s="27"/>
      <c r="B385" s="5"/>
      <c r="C385" s="28"/>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spans="1:31" ht="14" x14ac:dyDescent="0.15">
      <c r="A386" s="27"/>
      <c r="B386" s="5"/>
      <c r="C386" s="28"/>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spans="1:31" ht="14" x14ac:dyDescent="0.15">
      <c r="A387" s="27"/>
      <c r="B387" s="5"/>
      <c r="C387" s="28"/>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spans="1:31" ht="14" x14ac:dyDescent="0.15">
      <c r="A388" s="27"/>
      <c r="B388" s="5"/>
      <c r="C388" s="28"/>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spans="1:31" ht="14" x14ac:dyDescent="0.15">
      <c r="A389" s="27"/>
      <c r="B389" s="5"/>
      <c r="C389" s="28"/>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spans="1:31" ht="14" x14ac:dyDescent="0.15">
      <c r="A390" s="27"/>
      <c r="B390" s="5"/>
      <c r="C390" s="28"/>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spans="1:31" ht="14" x14ac:dyDescent="0.15">
      <c r="A391" s="27"/>
      <c r="B391" s="5"/>
      <c r="C391" s="28"/>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spans="1:31" ht="14" x14ac:dyDescent="0.15">
      <c r="A392" s="27"/>
      <c r="B392" s="5"/>
      <c r="C392" s="28"/>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spans="1:31" ht="14" x14ac:dyDescent="0.15">
      <c r="A393" s="27"/>
      <c r="B393" s="5"/>
      <c r="C393" s="28"/>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spans="1:31" ht="14" x14ac:dyDescent="0.15">
      <c r="A394" s="27"/>
      <c r="B394" s="5"/>
      <c r="C394" s="28"/>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spans="1:31" ht="14" x14ac:dyDescent="0.15">
      <c r="A395" s="27"/>
      <c r="B395" s="5"/>
      <c r="C395" s="28"/>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spans="1:31" ht="14" x14ac:dyDescent="0.15">
      <c r="A396" s="27"/>
      <c r="B396" s="5"/>
      <c r="C396" s="28"/>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spans="1:31" ht="14" x14ac:dyDescent="0.15">
      <c r="A397" s="27"/>
      <c r="B397" s="5"/>
      <c r="C397" s="28"/>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spans="1:31" ht="14" x14ac:dyDescent="0.15">
      <c r="A398" s="27"/>
      <c r="B398" s="5"/>
      <c r="C398" s="28"/>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spans="1:31" ht="14" x14ac:dyDescent="0.15">
      <c r="A399" s="27"/>
      <c r="B399" s="5"/>
      <c r="C399" s="28"/>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spans="1:31" ht="14" x14ac:dyDescent="0.15">
      <c r="A400" s="27"/>
      <c r="B400" s="5"/>
      <c r="C400" s="28"/>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spans="1:31" ht="14" x14ac:dyDescent="0.15">
      <c r="A401" s="27"/>
      <c r="B401" s="5"/>
      <c r="C401" s="28"/>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spans="1:31" ht="14" x14ac:dyDescent="0.15">
      <c r="A402" s="27"/>
      <c r="B402" s="5"/>
      <c r="C402" s="28"/>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spans="1:31" ht="14" x14ac:dyDescent="0.15">
      <c r="A403" s="27"/>
      <c r="B403" s="5"/>
      <c r="C403" s="28"/>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spans="1:31" ht="14" x14ac:dyDescent="0.15">
      <c r="A404" s="27"/>
      <c r="B404" s="5"/>
      <c r="C404" s="28"/>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spans="1:31" ht="14" x14ac:dyDescent="0.15">
      <c r="A405" s="27"/>
      <c r="B405" s="5"/>
      <c r="C405" s="28"/>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spans="1:31" ht="14" x14ac:dyDescent="0.15">
      <c r="A406" s="27"/>
      <c r="B406" s="5"/>
      <c r="C406" s="28"/>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spans="1:31" ht="14" x14ac:dyDescent="0.15">
      <c r="A407" s="27"/>
      <c r="B407" s="5"/>
      <c r="C407" s="28"/>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spans="1:31" ht="14" x14ac:dyDescent="0.15">
      <c r="A408" s="27"/>
      <c r="B408" s="5"/>
      <c r="C408" s="28"/>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spans="1:31" ht="14" x14ac:dyDescent="0.15">
      <c r="A409" s="27"/>
      <c r="B409" s="5"/>
      <c r="C409" s="28"/>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spans="1:31" ht="14" x14ac:dyDescent="0.15">
      <c r="A410" s="27"/>
      <c r="B410" s="5"/>
      <c r="C410" s="28"/>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spans="1:31" ht="14" x14ac:dyDescent="0.15">
      <c r="A411" s="27"/>
      <c r="B411" s="5"/>
      <c r="C411" s="28"/>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spans="1:31" ht="14" x14ac:dyDescent="0.15">
      <c r="A412" s="27"/>
      <c r="B412" s="5"/>
      <c r="C412" s="28"/>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spans="1:31" ht="14" x14ac:dyDescent="0.15">
      <c r="A413" s="27"/>
      <c r="B413" s="5"/>
      <c r="C413" s="28"/>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spans="1:31" ht="14" x14ac:dyDescent="0.15">
      <c r="A414" s="27"/>
      <c r="B414" s="5"/>
      <c r="C414" s="28"/>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spans="1:31" ht="14" x14ac:dyDescent="0.15">
      <c r="A415" s="27"/>
      <c r="B415" s="5"/>
      <c r="C415" s="28"/>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spans="1:31" ht="14" x14ac:dyDescent="0.15">
      <c r="A416" s="27"/>
      <c r="B416" s="5"/>
      <c r="C416" s="28"/>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spans="1:31" ht="14" x14ac:dyDescent="0.15">
      <c r="A417" s="27"/>
      <c r="B417" s="5"/>
      <c r="C417" s="28"/>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spans="1:31" ht="14" x14ac:dyDescent="0.15">
      <c r="A418" s="27"/>
      <c r="B418" s="5"/>
      <c r="C418" s="28"/>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spans="1:31" ht="14" x14ac:dyDescent="0.15">
      <c r="A419" s="27"/>
      <c r="B419" s="5"/>
      <c r="C419" s="28"/>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spans="1:31" ht="14" x14ac:dyDescent="0.15">
      <c r="A420" s="27"/>
      <c r="B420" s="5"/>
      <c r="C420" s="28"/>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spans="1:31" ht="14" x14ac:dyDescent="0.15">
      <c r="A421" s="27"/>
      <c r="B421" s="5"/>
      <c r="C421" s="28"/>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spans="1:31" ht="14" x14ac:dyDescent="0.15">
      <c r="A422" s="27"/>
      <c r="B422" s="5"/>
      <c r="C422" s="28"/>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spans="1:31" ht="14" x14ac:dyDescent="0.15">
      <c r="A423" s="27"/>
      <c r="B423" s="5"/>
      <c r="C423" s="28"/>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spans="1:31" ht="14" x14ac:dyDescent="0.15">
      <c r="A424" s="27"/>
      <c r="B424" s="5"/>
      <c r="C424" s="28"/>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spans="1:31" ht="14" x14ac:dyDescent="0.15">
      <c r="A425" s="27"/>
      <c r="B425" s="5"/>
      <c r="C425" s="28"/>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spans="1:31" ht="14" x14ac:dyDescent="0.15">
      <c r="A426" s="27"/>
      <c r="B426" s="5"/>
      <c r="C426" s="28"/>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spans="1:31" ht="14" x14ac:dyDescent="0.15">
      <c r="A427" s="27"/>
      <c r="B427" s="5"/>
      <c r="C427" s="28"/>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spans="1:31" ht="14" x14ac:dyDescent="0.15">
      <c r="A428" s="27"/>
      <c r="B428" s="5"/>
      <c r="C428" s="28"/>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spans="1:31" ht="14" x14ac:dyDescent="0.15">
      <c r="A429" s="27"/>
      <c r="B429" s="5"/>
      <c r="C429" s="28"/>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spans="1:31" ht="14" x14ac:dyDescent="0.15">
      <c r="A430" s="27"/>
      <c r="B430" s="5"/>
      <c r="C430" s="28"/>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spans="1:31" ht="14" x14ac:dyDescent="0.15">
      <c r="A431" s="27"/>
      <c r="B431" s="5"/>
      <c r="C431" s="28"/>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spans="1:31" ht="14" x14ac:dyDescent="0.15">
      <c r="A432" s="27"/>
      <c r="B432" s="5"/>
      <c r="C432" s="28"/>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spans="1:31" ht="14" x14ac:dyDescent="0.15">
      <c r="A433" s="27"/>
      <c r="B433" s="5"/>
      <c r="C433" s="28"/>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spans="1:31" ht="14" x14ac:dyDescent="0.15">
      <c r="A434" s="27"/>
      <c r="B434" s="5"/>
      <c r="C434" s="28"/>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spans="1:31" ht="14" x14ac:dyDescent="0.15">
      <c r="A435" s="27"/>
      <c r="B435" s="5"/>
      <c r="C435" s="28"/>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spans="1:31" ht="14" x14ac:dyDescent="0.15">
      <c r="A436" s="27"/>
      <c r="B436" s="5"/>
      <c r="C436" s="28"/>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spans="1:31" ht="14" x14ac:dyDescent="0.15">
      <c r="A437" s="27"/>
      <c r="B437" s="5"/>
      <c r="C437" s="28"/>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spans="1:31" ht="14" x14ac:dyDescent="0.15">
      <c r="A438" s="27"/>
      <c r="B438" s="5"/>
      <c r="C438" s="28"/>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spans="1:31" ht="14" x14ac:dyDescent="0.15">
      <c r="A439" s="27"/>
      <c r="B439" s="5"/>
      <c r="C439" s="28"/>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spans="1:31" ht="14" x14ac:dyDescent="0.15">
      <c r="A440" s="27"/>
      <c r="B440" s="5"/>
      <c r="C440" s="28"/>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spans="1:31" ht="14" x14ac:dyDescent="0.15">
      <c r="A441" s="27"/>
      <c r="B441" s="5"/>
      <c r="C441" s="28"/>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spans="1:31" ht="14" x14ac:dyDescent="0.15">
      <c r="A442" s="27"/>
      <c r="B442" s="5"/>
      <c r="C442" s="28"/>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spans="1:31" ht="14" x14ac:dyDescent="0.15">
      <c r="A443" s="27"/>
      <c r="B443" s="5"/>
      <c r="C443" s="28"/>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spans="1:31" ht="14" x14ac:dyDescent="0.15">
      <c r="A444" s="27"/>
      <c r="B444" s="5"/>
      <c r="C444" s="28"/>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spans="1:31" ht="14" x14ac:dyDescent="0.15">
      <c r="A445" s="27"/>
      <c r="B445" s="5"/>
      <c r="C445" s="28"/>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spans="1:31" ht="14" x14ac:dyDescent="0.15">
      <c r="A446" s="27"/>
      <c r="B446" s="5"/>
      <c r="C446" s="28"/>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spans="1:31" ht="14" x14ac:dyDescent="0.15">
      <c r="A447" s="27"/>
      <c r="B447" s="5"/>
      <c r="C447" s="28"/>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spans="1:31" ht="14" x14ac:dyDescent="0.15">
      <c r="A448" s="27"/>
      <c r="B448" s="5"/>
      <c r="C448" s="28"/>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spans="1:31" ht="14" x14ac:dyDescent="0.15">
      <c r="A449" s="27"/>
      <c r="B449" s="5"/>
      <c r="C449" s="28"/>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spans="1:31" ht="14" x14ac:dyDescent="0.15">
      <c r="A450" s="27"/>
      <c r="B450" s="5"/>
      <c r="C450" s="28"/>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spans="1:31" ht="14" x14ac:dyDescent="0.15">
      <c r="A451" s="27"/>
      <c r="B451" s="5"/>
      <c r="C451" s="28"/>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spans="1:31" ht="14" x14ac:dyDescent="0.15">
      <c r="A452" s="27"/>
      <c r="B452" s="5"/>
      <c r="C452" s="28"/>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spans="1:31" ht="14" x14ac:dyDescent="0.15">
      <c r="A453" s="27"/>
      <c r="B453" s="5"/>
      <c r="C453" s="28"/>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spans="1:31" ht="14" x14ac:dyDescent="0.15">
      <c r="A454" s="27"/>
      <c r="B454" s="5"/>
      <c r="C454" s="28"/>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spans="1:31" ht="14" x14ac:dyDescent="0.15">
      <c r="A455" s="27"/>
      <c r="B455" s="5"/>
      <c r="C455" s="28"/>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spans="1:31" ht="14" x14ac:dyDescent="0.15">
      <c r="A456" s="27"/>
      <c r="B456" s="5"/>
      <c r="C456" s="28"/>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spans="1:31" ht="14" x14ac:dyDescent="0.15">
      <c r="A457" s="27"/>
      <c r="B457" s="5"/>
      <c r="C457" s="28"/>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spans="1:31" ht="14" x14ac:dyDescent="0.15">
      <c r="A458" s="27"/>
      <c r="B458" s="5"/>
      <c r="C458" s="28"/>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spans="1:31" ht="14" x14ac:dyDescent="0.15">
      <c r="A459" s="27"/>
      <c r="B459" s="5"/>
      <c r="C459" s="28"/>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spans="1:31" ht="14" x14ac:dyDescent="0.15">
      <c r="A460" s="27"/>
      <c r="B460" s="5"/>
      <c r="C460" s="28"/>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spans="1:31" ht="14" x14ac:dyDescent="0.15">
      <c r="A461" s="27"/>
      <c r="B461" s="5"/>
      <c r="C461" s="28"/>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spans="1:31" ht="14" x14ac:dyDescent="0.15">
      <c r="A462" s="27"/>
      <c r="B462" s="5"/>
      <c r="C462" s="28"/>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spans="1:31" ht="14" x14ac:dyDescent="0.15">
      <c r="A463" s="27"/>
      <c r="B463" s="5"/>
      <c r="C463" s="28"/>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spans="1:31" ht="14" x14ac:dyDescent="0.15">
      <c r="A464" s="27"/>
      <c r="B464" s="5"/>
      <c r="C464" s="28"/>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spans="1:31" ht="14" x14ac:dyDescent="0.15">
      <c r="A465" s="27"/>
      <c r="B465" s="5"/>
      <c r="C465" s="28"/>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spans="1:31" ht="14" x14ac:dyDescent="0.15">
      <c r="A466" s="27"/>
      <c r="B466" s="5"/>
      <c r="C466" s="28"/>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spans="1:31" ht="14" x14ac:dyDescent="0.15">
      <c r="A467" s="27"/>
      <c r="B467" s="5"/>
      <c r="C467" s="28"/>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spans="1:31" ht="14" x14ac:dyDescent="0.15">
      <c r="A468" s="27"/>
      <c r="B468" s="5"/>
      <c r="C468" s="28"/>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spans="1:31" ht="14" x14ac:dyDescent="0.15">
      <c r="A469" s="27"/>
      <c r="B469" s="5"/>
      <c r="C469" s="28"/>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spans="1:31" ht="14" x14ac:dyDescent="0.15">
      <c r="A470" s="27"/>
      <c r="B470" s="5"/>
      <c r="C470" s="28"/>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spans="1:31" ht="14" x14ac:dyDescent="0.15">
      <c r="A471" s="27"/>
      <c r="B471" s="5"/>
      <c r="C471" s="28"/>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spans="1:31" ht="14" x14ac:dyDescent="0.15">
      <c r="A472" s="27"/>
      <c r="B472" s="5"/>
      <c r="C472" s="28"/>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spans="1:31" ht="14" x14ac:dyDescent="0.15">
      <c r="A473" s="27"/>
      <c r="B473" s="5"/>
      <c r="C473" s="28"/>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spans="1:31" ht="14" x14ac:dyDescent="0.15">
      <c r="A474" s="27"/>
      <c r="B474" s="5"/>
      <c r="C474" s="28"/>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spans="1:31" ht="14" x14ac:dyDescent="0.15">
      <c r="A475" s="27"/>
      <c r="B475" s="5"/>
      <c r="C475" s="28"/>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spans="1:31" ht="14" x14ac:dyDescent="0.15">
      <c r="A476" s="27"/>
      <c r="B476" s="5"/>
      <c r="C476" s="28"/>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spans="1:31" ht="14" x14ac:dyDescent="0.15">
      <c r="A477" s="27"/>
      <c r="B477" s="5"/>
      <c r="C477" s="28"/>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spans="1:31" ht="14" x14ac:dyDescent="0.15">
      <c r="A478" s="27"/>
      <c r="B478" s="5"/>
      <c r="C478" s="28"/>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spans="1:31" ht="14" x14ac:dyDescent="0.15">
      <c r="A479" s="27"/>
      <c r="B479" s="5"/>
      <c r="C479" s="28"/>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spans="1:31" ht="14" x14ac:dyDescent="0.15">
      <c r="A480" s="27"/>
      <c r="B480" s="5"/>
      <c r="C480" s="28"/>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spans="1:31" ht="14" x14ac:dyDescent="0.15">
      <c r="A481" s="27"/>
      <c r="B481" s="5"/>
      <c r="C481" s="28"/>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spans="1:31" ht="14" x14ac:dyDescent="0.15">
      <c r="A482" s="27"/>
      <c r="B482" s="5"/>
      <c r="C482" s="28"/>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spans="1:31" ht="14" x14ac:dyDescent="0.15">
      <c r="A483" s="27"/>
      <c r="B483" s="5"/>
      <c r="C483" s="28"/>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spans="1:31" ht="14" x14ac:dyDescent="0.15">
      <c r="A484" s="27"/>
      <c r="B484" s="5"/>
      <c r="C484" s="28"/>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spans="1:31" ht="14" x14ac:dyDescent="0.15">
      <c r="A485" s="27"/>
      <c r="B485" s="5"/>
      <c r="C485" s="28"/>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spans="1:31" ht="14" x14ac:dyDescent="0.15">
      <c r="A486" s="27"/>
      <c r="B486" s="5"/>
      <c r="C486" s="28"/>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spans="1:31" ht="14" x14ac:dyDescent="0.15">
      <c r="A487" s="27"/>
      <c r="B487" s="5"/>
      <c r="C487" s="28"/>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spans="1:31" ht="14" x14ac:dyDescent="0.15">
      <c r="A488" s="27"/>
      <c r="B488" s="5"/>
      <c r="C488" s="28"/>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spans="1:31" ht="14" x14ac:dyDescent="0.15">
      <c r="A489" s="27"/>
      <c r="B489" s="5"/>
      <c r="C489" s="28"/>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spans="1:31" ht="14" x14ac:dyDescent="0.15">
      <c r="A490" s="27"/>
      <c r="B490" s="5"/>
      <c r="C490" s="28"/>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spans="1:31" ht="14" x14ac:dyDescent="0.15">
      <c r="A491" s="27"/>
      <c r="B491" s="5"/>
      <c r="C491" s="28"/>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spans="1:31" ht="14" x14ac:dyDescent="0.15">
      <c r="A492" s="27"/>
      <c r="B492" s="5"/>
      <c r="C492" s="28"/>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spans="1:31" ht="14" x14ac:dyDescent="0.15">
      <c r="A493" s="27"/>
      <c r="B493" s="5"/>
      <c r="C493" s="28"/>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spans="1:31" ht="14" x14ac:dyDescent="0.15">
      <c r="A494" s="27"/>
      <c r="B494" s="5"/>
      <c r="C494" s="28"/>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spans="1:31" ht="14" x14ac:dyDescent="0.15">
      <c r="A495" s="27"/>
      <c r="B495" s="5"/>
      <c r="C495" s="28"/>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spans="1:31" ht="14" x14ac:dyDescent="0.15">
      <c r="A496" s="27"/>
      <c r="B496" s="5"/>
      <c r="C496" s="28"/>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spans="1:31" ht="14" x14ac:dyDescent="0.15">
      <c r="A497" s="27"/>
      <c r="B497" s="5"/>
      <c r="C497" s="28"/>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spans="1:31" ht="14" x14ac:dyDescent="0.15">
      <c r="A498" s="27"/>
      <c r="B498" s="5"/>
      <c r="C498" s="28"/>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spans="1:31" ht="14" x14ac:dyDescent="0.15">
      <c r="A499" s="27"/>
      <c r="B499" s="5"/>
      <c r="C499" s="28"/>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spans="1:31" ht="14" x14ac:dyDescent="0.15">
      <c r="A500" s="27"/>
      <c r="B500" s="5"/>
      <c r="C500" s="28"/>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spans="1:31" ht="14" x14ac:dyDescent="0.15">
      <c r="A501" s="27"/>
      <c r="B501" s="5"/>
      <c r="C501" s="28"/>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spans="1:31" ht="14" x14ac:dyDescent="0.15">
      <c r="A502" s="27"/>
      <c r="B502" s="5"/>
      <c r="C502" s="28"/>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spans="1:31" ht="14" x14ac:dyDescent="0.15">
      <c r="A503" s="27"/>
      <c r="B503" s="5"/>
      <c r="C503" s="28"/>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spans="1:31" ht="14" x14ac:dyDescent="0.15">
      <c r="A504" s="27"/>
      <c r="B504" s="5"/>
      <c r="C504" s="28"/>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spans="1:31" ht="14" x14ac:dyDescent="0.15">
      <c r="A505" s="27"/>
      <c r="B505" s="5"/>
      <c r="C505" s="28"/>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spans="1:31" ht="14" x14ac:dyDescent="0.15">
      <c r="A506" s="27"/>
      <c r="B506" s="5"/>
      <c r="C506" s="28"/>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spans="1:31" ht="14" x14ac:dyDescent="0.15">
      <c r="A507" s="27"/>
      <c r="B507" s="5"/>
      <c r="C507" s="28"/>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spans="1:31" ht="14" x14ac:dyDescent="0.15">
      <c r="A508" s="27"/>
      <c r="B508" s="5"/>
      <c r="C508" s="28"/>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spans="1:31" ht="14" x14ac:dyDescent="0.15">
      <c r="A509" s="27"/>
      <c r="B509" s="5"/>
      <c r="C509" s="28"/>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spans="1:31" ht="14" x14ac:dyDescent="0.15">
      <c r="A510" s="27"/>
      <c r="B510" s="5"/>
      <c r="C510" s="28"/>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spans="1:31" ht="14" x14ac:dyDescent="0.15">
      <c r="A511" s="27"/>
      <c r="B511" s="5"/>
      <c r="C511" s="28"/>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spans="1:31" ht="14" x14ac:dyDescent="0.15">
      <c r="A512" s="27"/>
      <c r="B512" s="5"/>
      <c r="C512" s="28"/>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spans="1:31" ht="14" x14ac:dyDescent="0.15">
      <c r="A513" s="27"/>
      <c r="B513" s="5"/>
      <c r="C513" s="28"/>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spans="1:31" ht="14" x14ac:dyDescent="0.15">
      <c r="A514" s="27"/>
      <c r="B514" s="5"/>
      <c r="C514" s="28"/>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spans="1:31" ht="14" x14ac:dyDescent="0.15">
      <c r="A515" s="27"/>
      <c r="B515" s="5"/>
      <c r="C515" s="28"/>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spans="1:31" ht="14" x14ac:dyDescent="0.15">
      <c r="A516" s="27"/>
      <c r="B516" s="5"/>
      <c r="C516" s="28"/>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spans="1:31" ht="14" x14ac:dyDescent="0.15">
      <c r="A517" s="27"/>
      <c r="B517" s="5"/>
      <c r="C517" s="28"/>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spans="1:31" ht="14" x14ac:dyDescent="0.15">
      <c r="A518" s="27"/>
      <c r="B518" s="5"/>
      <c r="C518" s="28"/>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spans="1:31" ht="14" x14ac:dyDescent="0.15">
      <c r="A519" s="27"/>
      <c r="B519" s="5"/>
      <c r="C519" s="28"/>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spans="1:31" ht="14" x14ac:dyDescent="0.15">
      <c r="A520" s="27"/>
      <c r="B520" s="5"/>
      <c r="C520" s="28"/>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spans="1:31" ht="14" x14ac:dyDescent="0.15">
      <c r="A521" s="27"/>
      <c r="B521" s="5"/>
      <c r="C521" s="28"/>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spans="1:31" ht="14" x14ac:dyDescent="0.15">
      <c r="A522" s="27"/>
      <c r="B522" s="5"/>
      <c r="C522" s="28"/>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spans="1:31" ht="14" x14ac:dyDescent="0.15">
      <c r="A523" s="27"/>
      <c r="B523" s="5"/>
      <c r="C523" s="28"/>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spans="1:31" ht="14" x14ac:dyDescent="0.15">
      <c r="A524" s="27"/>
      <c r="B524" s="5"/>
      <c r="C524" s="28"/>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spans="1:31" ht="14" x14ac:dyDescent="0.15">
      <c r="A525" s="27"/>
      <c r="B525" s="5"/>
      <c r="C525" s="28"/>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spans="1:31" ht="14" x14ac:dyDescent="0.15">
      <c r="A526" s="27"/>
      <c r="B526" s="5"/>
      <c r="C526" s="28"/>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spans="1:31" ht="14" x14ac:dyDescent="0.15">
      <c r="A527" s="27"/>
      <c r="B527" s="5"/>
      <c r="C527" s="28"/>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spans="1:31" ht="14" x14ac:dyDescent="0.15">
      <c r="A528" s="27"/>
      <c r="B528" s="5"/>
      <c r="C528" s="28"/>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spans="1:31" ht="14" x14ac:dyDescent="0.15">
      <c r="A529" s="27"/>
      <c r="B529" s="5"/>
      <c r="C529" s="28"/>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spans="1:31" ht="14" x14ac:dyDescent="0.15">
      <c r="A530" s="27"/>
      <c r="B530" s="5"/>
      <c r="C530" s="28"/>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spans="1:31" ht="14" x14ac:dyDescent="0.15">
      <c r="A531" s="27"/>
      <c r="B531" s="5"/>
      <c r="C531" s="28"/>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spans="1:31" ht="14" x14ac:dyDescent="0.15">
      <c r="A532" s="27"/>
      <c r="B532" s="5"/>
      <c r="C532" s="28"/>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spans="1:31" ht="14" x14ac:dyDescent="0.15">
      <c r="A533" s="27"/>
      <c r="B533" s="5"/>
      <c r="C533" s="28"/>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spans="1:31" ht="14" x14ac:dyDescent="0.15">
      <c r="A534" s="27"/>
      <c r="B534" s="5"/>
      <c r="C534" s="28"/>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spans="1:31" ht="14" x14ac:dyDescent="0.15">
      <c r="A535" s="27"/>
      <c r="B535" s="5"/>
      <c r="C535" s="28"/>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spans="1:31" ht="14" x14ac:dyDescent="0.15">
      <c r="A536" s="27"/>
      <c r="B536" s="5"/>
      <c r="C536" s="28"/>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spans="1:31" ht="14" x14ac:dyDescent="0.15">
      <c r="A537" s="27"/>
      <c r="B537" s="5"/>
      <c r="C537" s="28"/>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spans="1:31" ht="14" x14ac:dyDescent="0.15">
      <c r="A538" s="27"/>
      <c r="B538" s="5"/>
      <c r="C538" s="28"/>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spans="1:31" ht="14" x14ac:dyDescent="0.15">
      <c r="A539" s="27"/>
      <c r="B539" s="5"/>
      <c r="C539" s="28"/>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spans="1:31" ht="14" x14ac:dyDescent="0.15">
      <c r="A540" s="27"/>
      <c r="B540" s="5"/>
      <c r="C540" s="28"/>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spans="1:31" ht="14" x14ac:dyDescent="0.15">
      <c r="A541" s="27"/>
      <c r="B541" s="5"/>
      <c r="C541" s="28"/>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spans="1:31" ht="14" x14ac:dyDescent="0.15">
      <c r="A542" s="27"/>
      <c r="B542" s="5"/>
      <c r="C542" s="28"/>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spans="1:31" ht="14" x14ac:dyDescent="0.15">
      <c r="A543" s="27"/>
      <c r="B543" s="5"/>
      <c r="C543" s="28"/>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spans="1:31" ht="14" x14ac:dyDescent="0.15">
      <c r="A544" s="27"/>
      <c r="B544" s="5"/>
      <c r="C544" s="28"/>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spans="1:31" ht="14" x14ac:dyDescent="0.15">
      <c r="A545" s="27"/>
      <c r="B545" s="5"/>
      <c r="C545" s="28"/>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spans="1:31" ht="14" x14ac:dyDescent="0.15">
      <c r="A546" s="27"/>
      <c r="B546" s="5"/>
      <c r="C546" s="28"/>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spans="1:31" ht="14" x14ac:dyDescent="0.15">
      <c r="A547" s="27"/>
      <c r="B547" s="5"/>
      <c r="C547" s="28"/>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spans="1:31" ht="14" x14ac:dyDescent="0.15">
      <c r="A548" s="27"/>
      <c r="B548" s="5"/>
      <c r="C548" s="28"/>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spans="1:31" ht="14" x14ac:dyDescent="0.15">
      <c r="A549" s="27"/>
      <c r="B549" s="5"/>
      <c r="C549" s="28"/>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spans="1:31" ht="14" x14ac:dyDescent="0.15">
      <c r="A550" s="27"/>
      <c r="B550" s="5"/>
      <c r="C550" s="28"/>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spans="1:31" ht="14" x14ac:dyDescent="0.15">
      <c r="A551" s="27"/>
      <c r="B551" s="5"/>
      <c r="C551" s="28"/>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spans="1:31" ht="14" x14ac:dyDescent="0.15">
      <c r="A552" s="27"/>
      <c r="B552" s="5"/>
      <c r="C552" s="28"/>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spans="1:31" ht="14" x14ac:dyDescent="0.15">
      <c r="A553" s="27"/>
      <c r="B553" s="5"/>
      <c r="C553" s="28"/>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spans="1:31" ht="14" x14ac:dyDescent="0.15">
      <c r="A554" s="27"/>
      <c r="B554" s="5"/>
      <c r="C554" s="28"/>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spans="1:31" ht="14" x14ac:dyDescent="0.15">
      <c r="A555" s="27"/>
      <c r="B555" s="5"/>
      <c r="C555" s="28"/>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spans="1:31" ht="14" x14ac:dyDescent="0.15">
      <c r="A556" s="27"/>
      <c r="B556" s="5"/>
      <c r="C556" s="28"/>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spans="1:31" ht="14" x14ac:dyDescent="0.15">
      <c r="A557" s="27"/>
      <c r="B557" s="5"/>
      <c r="C557" s="28"/>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spans="1:31" ht="14" x14ac:dyDescent="0.15">
      <c r="A558" s="27"/>
      <c r="B558" s="5"/>
      <c r="C558" s="28"/>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spans="1:31" ht="14" x14ac:dyDescent="0.15">
      <c r="A559" s="27"/>
      <c r="B559" s="5"/>
      <c r="C559" s="28"/>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spans="1:31" ht="14" x14ac:dyDescent="0.15">
      <c r="A560" s="27"/>
      <c r="B560" s="5"/>
      <c r="C560" s="28"/>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spans="1:31" ht="14" x14ac:dyDescent="0.15">
      <c r="A561" s="27"/>
      <c r="B561" s="5"/>
      <c r="C561" s="28"/>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spans="1:31" ht="14" x14ac:dyDescent="0.15">
      <c r="A562" s="27"/>
      <c r="B562" s="5"/>
      <c r="C562" s="28"/>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spans="1:31" ht="14" x14ac:dyDescent="0.15">
      <c r="A563" s="27"/>
      <c r="B563" s="5"/>
      <c r="C563" s="28"/>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spans="1:31" ht="14" x14ac:dyDescent="0.15">
      <c r="A564" s="27"/>
      <c r="B564" s="5"/>
      <c r="C564" s="28"/>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spans="1:31" ht="14" x14ac:dyDescent="0.15">
      <c r="A565" s="27"/>
      <c r="B565" s="5"/>
      <c r="C565" s="28"/>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spans="1:31" ht="14" x14ac:dyDescent="0.15">
      <c r="A566" s="27"/>
      <c r="B566" s="5"/>
      <c r="C566" s="28"/>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spans="1:31" ht="14" x14ac:dyDescent="0.15">
      <c r="A567" s="27"/>
      <c r="B567" s="5"/>
      <c r="C567" s="28"/>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spans="1:31" ht="14" x14ac:dyDescent="0.15">
      <c r="A568" s="27"/>
      <c r="B568" s="5"/>
      <c r="C568" s="28"/>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spans="1:31" ht="14" x14ac:dyDescent="0.15">
      <c r="A569" s="27"/>
      <c r="B569" s="5"/>
      <c r="C569" s="28"/>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spans="1:31" ht="14" x14ac:dyDescent="0.15">
      <c r="A570" s="27"/>
      <c r="B570" s="5"/>
      <c r="C570" s="28"/>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spans="1:31" ht="14" x14ac:dyDescent="0.15">
      <c r="A571" s="27"/>
      <c r="B571" s="5"/>
      <c r="C571" s="28"/>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spans="1:31" ht="14" x14ac:dyDescent="0.15">
      <c r="A572" s="27"/>
      <c r="B572" s="5"/>
      <c r="C572" s="28"/>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spans="1:31" ht="14" x14ac:dyDescent="0.15">
      <c r="A573" s="27"/>
      <c r="B573" s="5"/>
      <c r="C573" s="28"/>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spans="1:31" ht="14" x14ac:dyDescent="0.15">
      <c r="A574" s="27"/>
      <c r="B574" s="5"/>
      <c r="C574" s="28"/>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spans="1:31" ht="14" x14ac:dyDescent="0.15">
      <c r="A575" s="27"/>
      <c r="B575" s="5"/>
      <c r="C575" s="28"/>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spans="1:31" ht="14" x14ac:dyDescent="0.15">
      <c r="A576" s="27"/>
      <c r="B576" s="5"/>
      <c r="C576" s="28"/>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spans="1:31" ht="14" x14ac:dyDescent="0.15">
      <c r="A577" s="27"/>
      <c r="B577" s="5"/>
      <c r="C577" s="28"/>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spans="1:31" ht="14" x14ac:dyDescent="0.15">
      <c r="A578" s="27"/>
      <c r="B578" s="5"/>
      <c r="C578" s="28"/>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spans="1:31" ht="14" x14ac:dyDescent="0.15">
      <c r="A579" s="27"/>
      <c r="B579" s="5"/>
      <c r="C579" s="28"/>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spans="1:31" ht="14" x14ac:dyDescent="0.15">
      <c r="A580" s="27"/>
      <c r="B580" s="5"/>
      <c r="C580" s="28"/>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spans="1:31" ht="14" x14ac:dyDescent="0.15">
      <c r="A581" s="27"/>
      <c r="B581" s="5"/>
      <c r="C581" s="28"/>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spans="1:31" ht="14" x14ac:dyDescent="0.15">
      <c r="A582" s="27"/>
      <c r="B582" s="5"/>
      <c r="C582" s="28"/>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spans="1:31" ht="14" x14ac:dyDescent="0.15">
      <c r="A583" s="27"/>
      <c r="B583" s="5"/>
      <c r="C583" s="28"/>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spans="1:31" ht="14" x14ac:dyDescent="0.15">
      <c r="A584" s="27"/>
      <c r="B584" s="5"/>
      <c r="C584" s="28"/>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spans="1:31" ht="14" x14ac:dyDescent="0.15">
      <c r="A585" s="27"/>
      <c r="B585" s="5"/>
      <c r="C585" s="28"/>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spans="1:31" ht="14" x14ac:dyDescent="0.15">
      <c r="A586" s="27"/>
      <c r="B586" s="5"/>
      <c r="C586" s="28"/>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spans="1:31" ht="14" x14ac:dyDescent="0.15">
      <c r="A587" s="27"/>
      <c r="B587" s="5"/>
      <c r="C587" s="28"/>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spans="1:31" ht="14" x14ac:dyDescent="0.15">
      <c r="A588" s="27"/>
      <c r="B588" s="5"/>
      <c r="C588" s="28"/>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spans="1:31" ht="14" x14ac:dyDescent="0.15">
      <c r="A589" s="27"/>
      <c r="B589" s="5"/>
      <c r="C589" s="28"/>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spans="1:31" ht="14" x14ac:dyDescent="0.15">
      <c r="A590" s="27"/>
      <c r="B590" s="5"/>
      <c r="C590" s="28"/>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spans="1:31" ht="14" x14ac:dyDescent="0.15">
      <c r="A591" s="27"/>
      <c r="B591" s="5"/>
      <c r="C591" s="28"/>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spans="1:31" ht="14" x14ac:dyDescent="0.15">
      <c r="A592" s="27"/>
      <c r="B592" s="5"/>
      <c r="C592" s="28"/>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spans="1:31" ht="14" x14ac:dyDescent="0.15">
      <c r="A593" s="27"/>
      <c r="B593" s="5"/>
      <c r="C593" s="28"/>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spans="1:31" ht="14" x14ac:dyDescent="0.15">
      <c r="A594" s="27"/>
      <c r="B594" s="5"/>
      <c r="C594" s="28"/>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spans="1:31" ht="14" x14ac:dyDescent="0.15">
      <c r="A595" s="27"/>
      <c r="B595" s="5"/>
      <c r="C595" s="28"/>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spans="1:31" ht="14" x14ac:dyDescent="0.15">
      <c r="A596" s="27"/>
      <c r="B596" s="5"/>
      <c r="C596" s="28"/>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spans="1:31" ht="14" x14ac:dyDescent="0.15">
      <c r="A597" s="27"/>
      <c r="B597" s="5"/>
      <c r="C597" s="28"/>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spans="1:31" ht="14" x14ac:dyDescent="0.15">
      <c r="A598" s="27"/>
      <c r="B598" s="5"/>
      <c r="C598" s="28"/>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spans="1:31" ht="14" x14ac:dyDescent="0.15">
      <c r="A599" s="27"/>
      <c r="B599" s="5"/>
      <c r="C599" s="28"/>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spans="1:31" ht="14" x14ac:dyDescent="0.15">
      <c r="A600" s="27"/>
      <c r="B600" s="5"/>
      <c r="C600" s="28"/>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spans="1:31" ht="14" x14ac:dyDescent="0.15">
      <c r="A601" s="27"/>
      <c r="B601" s="5"/>
      <c r="C601" s="28"/>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spans="1:31" ht="14" x14ac:dyDescent="0.15">
      <c r="A602" s="27"/>
      <c r="B602" s="5"/>
      <c r="C602" s="28"/>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spans="1:31" ht="14" x14ac:dyDescent="0.15">
      <c r="A603" s="27"/>
      <c r="B603" s="5"/>
      <c r="C603" s="28"/>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spans="1:31" ht="14" x14ac:dyDescent="0.15">
      <c r="A604" s="27"/>
      <c r="B604" s="5"/>
      <c r="C604" s="28"/>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spans="1:31" ht="14" x14ac:dyDescent="0.15">
      <c r="A605" s="27"/>
      <c r="B605" s="5"/>
      <c r="C605" s="28"/>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spans="1:31" ht="14" x14ac:dyDescent="0.15">
      <c r="A606" s="27"/>
      <c r="B606" s="5"/>
      <c r="C606" s="28"/>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spans="1:31" ht="14" x14ac:dyDescent="0.15">
      <c r="A607" s="27"/>
      <c r="B607" s="5"/>
      <c r="C607" s="28"/>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spans="1:31" ht="14" x14ac:dyDescent="0.15">
      <c r="A608" s="27"/>
      <c r="B608" s="5"/>
      <c r="C608" s="28"/>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spans="1:31" ht="14" x14ac:dyDescent="0.15">
      <c r="A609" s="27"/>
      <c r="B609" s="5"/>
      <c r="C609" s="28"/>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spans="1:31" ht="14" x14ac:dyDescent="0.15">
      <c r="A610" s="27"/>
      <c r="B610" s="5"/>
      <c r="C610" s="28"/>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spans="1:31" ht="14" x14ac:dyDescent="0.15">
      <c r="A611" s="27"/>
      <c r="B611" s="5"/>
      <c r="C611" s="28"/>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spans="1:31" ht="14" x14ac:dyDescent="0.15">
      <c r="A612" s="27"/>
      <c r="B612" s="5"/>
      <c r="C612" s="28"/>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spans="1:31" ht="14" x14ac:dyDescent="0.15">
      <c r="A613" s="27"/>
      <c r="B613" s="5"/>
      <c r="C613" s="28"/>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spans="1:31" ht="14" x14ac:dyDescent="0.15">
      <c r="A614" s="27"/>
      <c r="B614" s="5"/>
      <c r="C614" s="28"/>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spans="1:31" ht="14" x14ac:dyDescent="0.15">
      <c r="A615" s="27"/>
      <c r="B615" s="5"/>
      <c r="C615" s="28"/>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spans="1:31" ht="14" x14ac:dyDescent="0.15">
      <c r="A616" s="27"/>
      <c r="B616" s="5"/>
      <c r="C616" s="28"/>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spans="1:31" ht="14" x14ac:dyDescent="0.15">
      <c r="A617" s="27"/>
      <c r="B617" s="5"/>
      <c r="C617" s="28"/>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spans="1:31" ht="14" x14ac:dyDescent="0.15">
      <c r="A618" s="27"/>
      <c r="B618" s="5"/>
      <c r="C618" s="28"/>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spans="1:31" ht="14" x14ac:dyDescent="0.15">
      <c r="A619" s="27"/>
      <c r="B619" s="5"/>
      <c r="C619" s="28"/>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spans="1:31" ht="14" x14ac:dyDescent="0.15">
      <c r="A620" s="27"/>
      <c r="B620" s="5"/>
      <c r="C620" s="28"/>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spans="1:31" ht="14" x14ac:dyDescent="0.15">
      <c r="A621" s="27"/>
      <c r="B621" s="5"/>
      <c r="C621" s="28"/>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spans="1:31" ht="14" x14ac:dyDescent="0.15">
      <c r="A622" s="27"/>
      <c r="B622" s="5"/>
      <c r="C622" s="28"/>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spans="1:31" ht="14" x14ac:dyDescent="0.15">
      <c r="A623" s="27"/>
      <c r="B623" s="5"/>
      <c r="C623" s="28"/>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spans="1:31" ht="14" x14ac:dyDescent="0.15">
      <c r="A624" s="27"/>
      <c r="B624" s="5"/>
      <c r="C624" s="28"/>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spans="1:31" ht="14" x14ac:dyDescent="0.15">
      <c r="A625" s="27"/>
      <c r="B625" s="5"/>
      <c r="C625" s="28"/>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spans="1:31" ht="14" x14ac:dyDescent="0.15">
      <c r="A626" s="27"/>
      <c r="B626" s="5"/>
      <c r="C626" s="28"/>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spans="1:31" ht="14" x14ac:dyDescent="0.15">
      <c r="A627" s="27"/>
      <c r="B627" s="5"/>
      <c r="C627" s="28"/>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spans="1:31" ht="14" x14ac:dyDescent="0.15">
      <c r="A628" s="27"/>
      <c r="B628" s="5"/>
      <c r="C628" s="28"/>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spans="1:31" ht="14" x14ac:dyDescent="0.15">
      <c r="A629" s="27"/>
      <c r="B629" s="5"/>
      <c r="C629" s="28"/>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spans="1:31" ht="14" x14ac:dyDescent="0.15">
      <c r="A630" s="27"/>
      <c r="B630" s="5"/>
      <c r="C630" s="28"/>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spans="1:31" ht="14" x14ac:dyDescent="0.15">
      <c r="A631" s="27"/>
      <c r="B631" s="5"/>
      <c r="C631" s="28"/>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spans="1:31" ht="14" x14ac:dyDescent="0.15">
      <c r="A632" s="27"/>
      <c r="B632" s="5"/>
      <c r="C632" s="28"/>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spans="1:31" ht="14" x14ac:dyDescent="0.15">
      <c r="A633" s="27"/>
      <c r="B633" s="5"/>
      <c r="C633" s="28"/>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spans="1:31" ht="14" x14ac:dyDescent="0.15">
      <c r="A634" s="27"/>
      <c r="B634" s="5"/>
      <c r="C634" s="28"/>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spans="1:31" ht="14" x14ac:dyDescent="0.15">
      <c r="A635" s="27"/>
      <c r="B635" s="5"/>
      <c r="C635" s="28"/>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spans="1:31" ht="14" x14ac:dyDescent="0.15">
      <c r="A636" s="27"/>
      <c r="B636" s="5"/>
      <c r="C636" s="28"/>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spans="1:31" ht="14" x14ac:dyDescent="0.15">
      <c r="A637" s="27"/>
      <c r="B637" s="5"/>
      <c r="C637" s="28"/>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spans="1:31" ht="14" x14ac:dyDescent="0.15">
      <c r="A638" s="27"/>
      <c r="B638" s="5"/>
      <c r="C638" s="28"/>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spans="1:31" ht="14" x14ac:dyDescent="0.15">
      <c r="A639" s="27"/>
      <c r="B639" s="5"/>
      <c r="C639" s="28"/>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spans="1:31" ht="14" x14ac:dyDescent="0.15">
      <c r="A640" s="27"/>
      <c r="B640" s="5"/>
      <c r="C640" s="28"/>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spans="1:31" ht="14" x14ac:dyDescent="0.15">
      <c r="A641" s="27"/>
      <c r="B641" s="5"/>
      <c r="C641" s="28"/>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spans="1:31" ht="14" x14ac:dyDescent="0.15">
      <c r="A642" s="27"/>
      <c r="B642" s="5"/>
      <c r="C642" s="28"/>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spans="1:31" ht="14" x14ac:dyDescent="0.15">
      <c r="A643" s="27"/>
      <c r="B643" s="5"/>
      <c r="C643" s="28"/>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spans="1:31" ht="14" x14ac:dyDescent="0.15">
      <c r="A644" s="27"/>
      <c r="B644" s="5"/>
      <c r="C644" s="28"/>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spans="1:31" ht="14" x14ac:dyDescent="0.15">
      <c r="A645" s="27"/>
      <c r="B645" s="5"/>
      <c r="C645" s="28"/>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spans="1:31" ht="14" x14ac:dyDescent="0.15">
      <c r="A646" s="27"/>
      <c r="B646" s="5"/>
      <c r="C646" s="28"/>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spans="1:31" ht="14" x14ac:dyDescent="0.15">
      <c r="A647" s="27"/>
      <c r="B647" s="5"/>
      <c r="C647" s="28"/>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spans="1:31" ht="14" x14ac:dyDescent="0.15">
      <c r="A648" s="27"/>
      <c r="B648" s="5"/>
      <c r="C648" s="28"/>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spans="1:31" ht="14" x14ac:dyDescent="0.15">
      <c r="A649" s="27"/>
      <c r="B649" s="5"/>
      <c r="C649" s="28"/>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spans="1:31" ht="14" x14ac:dyDescent="0.15">
      <c r="A650" s="27"/>
      <c r="B650" s="5"/>
      <c r="C650" s="28"/>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spans="1:31" ht="14" x14ac:dyDescent="0.15">
      <c r="A651" s="27"/>
      <c r="B651" s="5"/>
      <c r="C651" s="28"/>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spans="1:31" ht="14" x14ac:dyDescent="0.15">
      <c r="A652" s="27"/>
      <c r="B652" s="5"/>
      <c r="C652" s="28"/>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spans="1:31" ht="14" x14ac:dyDescent="0.15">
      <c r="A653" s="27"/>
      <c r="B653" s="5"/>
      <c r="C653" s="28"/>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spans="1:31" ht="14" x14ac:dyDescent="0.15">
      <c r="A654" s="27"/>
      <c r="B654" s="5"/>
      <c r="C654" s="28"/>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spans="1:31" ht="14" x14ac:dyDescent="0.15">
      <c r="A655" s="27"/>
      <c r="B655" s="5"/>
      <c r="C655" s="28"/>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spans="1:31" ht="14" x14ac:dyDescent="0.15">
      <c r="A656" s="27"/>
      <c r="B656" s="5"/>
      <c r="C656" s="28"/>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spans="1:31" ht="14" x14ac:dyDescent="0.15">
      <c r="A657" s="27"/>
      <c r="B657" s="5"/>
      <c r="C657" s="28"/>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spans="1:31" ht="14" x14ac:dyDescent="0.15">
      <c r="A658" s="27"/>
      <c r="B658" s="5"/>
      <c r="C658" s="28"/>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spans="1:31" ht="14" x14ac:dyDescent="0.15">
      <c r="A659" s="27"/>
      <c r="B659" s="5"/>
      <c r="C659" s="28"/>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spans="1:31" ht="14" x14ac:dyDescent="0.15">
      <c r="A660" s="27"/>
      <c r="B660" s="5"/>
      <c r="C660" s="28"/>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spans="1:31" ht="14" x14ac:dyDescent="0.15">
      <c r="A661" s="27"/>
      <c r="B661" s="5"/>
      <c r="C661" s="28"/>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spans="1:31" ht="14" x14ac:dyDescent="0.15">
      <c r="A662" s="27"/>
      <c r="B662" s="5"/>
      <c r="C662" s="28"/>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spans="1:31" ht="14" x14ac:dyDescent="0.15">
      <c r="A663" s="27"/>
      <c r="B663" s="5"/>
      <c r="C663" s="28"/>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spans="1:31" ht="14" x14ac:dyDescent="0.15">
      <c r="A664" s="27"/>
      <c r="B664" s="5"/>
      <c r="C664" s="28"/>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spans="1:31" ht="14" x14ac:dyDescent="0.15">
      <c r="A665" s="27"/>
      <c r="B665" s="5"/>
      <c r="C665" s="28"/>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spans="1:31" ht="14" x14ac:dyDescent="0.15">
      <c r="A666" s="27"/>
      <c r="B666" s="5"/>
      <c r="C666" s="28"/>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spans="1:31" ht="14" x14ac:dyDescent="0.15">
      <c r="A667" s="27"/>
      <c r="B667" s="5"/>
      <c r="C667" s="28"/>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spans="1:31" ht="14" x14ac:dyDescent="0.15">
      <c r="A668" s="27"/>
      <c r="B668" s="5"/>
      <c r="C668" s="28"/>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spans="1:31" ht="14" x14ac:dyDescent="0.15">
      <c r="A669" s="27"/>
      <c r="B669" s="5"/>
      <c r="C669" s="28"/>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spans="1:31" ht="14" x14ac:dyDescent="0.15">
      <c r="A670" s="27"/>
      <c r="B670" s="5"/>
      <c r="C670" s="28"/>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spans="1:31" ht="14" x14ac:dyDescent="0.15">
      <c r="A671" s="27"/>
      <c r="B671" s="5"/>
      <c r="C671" s="28"/>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spans="1:31" ht="14" x14ac:dyDescent="0.15">
      <c r="A672" s="27"/>
      <c r="B672" s="5"/>
      <c r="C672" s="28"/>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spans="1:31" ht="14" x14ac:dyDescent="0.15">
      <c r="A673" s="27"/>
      <c r="B673" s="5"/>
      <c r="C673" s="28"/>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spans="1:31" ht="14" x14ac:dyDescent="0.15">
      <c r="A674" s="27"/>
      <c r="B674" s="5"/>
      <c r="C674" s="28"/>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spans="1:31" ht="14" x14ac:dyDescent="0.15">
      <c r="A675" s="27"/>
      <c r="B675" s="5"/>
      <c r="C675" s="28"/>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spans="1:31" ht="14" x14ac:dyDescent="0.15">
      <c r="A676" s="27"/>
      <c r="B676" s="5"/>
      <c r="C676" s="28"/>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spans="1:31" ht="14" x14ac:dyDescent="0.15">
      <c r="A677" s="27"/>
      <c r="B677" s="5"/>
      <c r="C677" s="28"/>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spans="1:31" ht="14" x14ac:dyDescent="0.15">
      <c r="A678" s="27"/>
      <c r="B678" s="5"/>
      <c r="C678" s="28"/>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spans="1:31" ht="14" x14ac:dyDescent="0.15">
      <c r="A679" s="27"/>
      <c r="B679" s="5"/>
      <c r="C679" s="28"/>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spans="1:31" ht="14" x14ac:dyDescent="0.15">
      <c r="A680" s="27"/>
      <c r="B680" s="5"/>
      <c r="C680" s="28"/>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spans="1:31" ht="14" x14ac:dyDescent="0.15">
      <c r="A681" s="27"/>
      <c r="B681" s="5"/>
      <c r="C681" s="28"/>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spans="1:31" ht="14" x14ac:dyDescent="0.15">
      <c r="A682" s="27"/>
      <c r="B682" s="5"/>
      <c r="C682" s="28"/>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spans="1:31" ht="14" x14ac:dyDescent="0.15">
      <c r="A683" s="27"/>
      <c r="B683" s="5"/>
      <c r="C683" s="28"/>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spans="1:31" ht="14" x14ac:dyDescent="0.15">
      <c r="A684" s="27"/>
      <c r="B684" s="5"/>
      <c r="C684" s="28"/>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spans="1:31" ht="14" x14ac:dyDescent="0.15">
      <c r="A685" s="27"/>
      <c r="B685" s="5"/>
      <c r="C685" s="28"/>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spans="1:31" ht="14" x14ac:dyDescent="0.15">
      <c r="A686" s="27"/>
      <c r="B686" s="5"/>
      <c r="C686" s="28"/>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spans="1:31" ht="14" x14ac:dyDescent="0.15">
      <c r="A687" s="27"/>
      <c r="B687" s="5"/>
      <c r="C687" s="28"/>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spans="1:31" ht="14" x14ac:dyDescent="0.15">
      <c r="A688" s="27"/>
      <c r="B688" s="5"/>
      <c r="C688" s="28"/>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spans="1:31" ht="14" x14ac:dyDescent="0.15">
      <c r="A689" s="27"/>
      <c r="B689" s="5"/>
      <c r="C689" s="28"/>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spans="1:31" ht="14" x14ac:dyDescent="0.15">
      <c r="A690" s="27"/>
      <c r="B690" s="5"/>
      <c r="C690" s="28"/>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spans="1:31" ht="14" x14ac:dyDescent="0.15">
      <c r="A691" s="27"/>
      <c r="B691" s="5"/>
      <c r="C691" s="28"/>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spans="1:31" ht="14" x14ac:dyDescent="0.15">
      <c r="A692" s="27"/>
      <c r="B692" s="5"/>
      <c r="C692" s="28"/>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spans="1:31" ht="14" x14ac:dyDescent="0.15">
      <c r="A693" s="27"/>
      <c r="B693" s="5"/>
      <c r="C693" s="28"/>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spans="1:31" ht="14" x14ac:dyDescent="0.15">
      <c r="A694" s="27"/>
      <c r="B694" s="5"/>
      <c r="C694" s="28"/>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spans="1:31" ht="14" x14ac:dyDescent="0.15">
      <c r="A695" s="27"/>
      <c r="B695" s="5"/>
      <c r="C695" s="28"/>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spans="1:31" ht="14" x14ac:dyDescent="0.15">
      <c r="A696" s="27"/>
      <c r="B696" s="5"/>
      <c r="C696" s="28"/>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spans="1:31" ht="14" x14ac:dyDescent="0.15">
      <c r="A697" s="27"/>
      <c r="B697" s="5"/>
      <c r="C697" s="28"/>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spans="1:31" ht="14" x14ac:dyDescent="0.15">
      <c r="A698" s="27"/>
      <c r="B698" s="5"/>
      <c r="C698" s="28"/>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spans="1:31" ht="14" x14ac:dyDescent="0.15">
      <c r="A699" s="27"/>
      <c r="B699" s="5"/>
      <c r="C699" s="28"/>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spans="1:31" ht="14" x14ac:dyDescent="0.15">
      <c r="A700" s="27"/>
      <c r="B700" s="5"/>
      <c r="C700" s="28"/>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spans="1:31" ht="14" x14ac:dyDescent="0.15">
      <c r="A701" s="27"/>
      <c r="B701" s="5"/>
      <c r="C701" s="28"/>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spans="1:31" ht="14" x14ac:dyDescent="0.15">
      <c r="A702" s="27"/>
      <c r="B702" s="5"/>
      <c r="C702" s="28"/>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spans="1:31" ht="14" x14ac:dyDescent="0.15">
      <c r="A703" s="27"/>
      <c r="B703" s="5"/>
      <c r="C703" s="28"/>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spans="1:31" ht="14" x14ac:dyDescent="0.15">
      <c r="A704" s="27"/>
      <c r="B704" s="5"/>
      <c r="C704" s="28"/>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spans="1:31" ht="14" x14ac:dyDescent="0.15">
      <c r="A705" s="27"/>
      <c r="B705" s="5"/>
      <c r="C705" s="28"/>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spans="1:31" ht="14" x14ac:dyDescent="0.15">
      <c r="A706" s="27"/>
      <c r="B706" s="5"/>
      <c r="C706" s="28"/>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spans="1:31" ht="14" x14ac:dyDescent="0.15">
      <c r="A707" s="27"/>
      <c r="B707" s="5"/>
      <c r="C707" s="28"/>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spans="1:31" ht="14" x14ac:dyDescent="0.15">
      <c r="A708" s="27"/>
      <c r="B708" s="5"/>
      <c r="C708" s="28"/>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spans="1:31" ht="14" x14ac:dyDescent="0.15">
      <c r="A709" s="27"/>
      <c r="B709" s="5"/>
      <c r="C709" s="28"/>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spans="1:31" ht="14" x14ac:dyDescent="0.15">
      <c r="A710" s="27"/>
      <c r="B710" s="5"/>
      <c r="C710" s="28"/>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spans="1:31" ht="14" x14ac:dyDescent="0.15">
      <c r="A711" s="27"/>
      <c r="B711" s="5"/>
      <c r="C711" s="28"/>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spans="1:31" ht="14" x14ac:dyDescent="0.15">
      <c r="A712" s="27"/>
      <c r="B712" s="5"/>
      <c r="C712" s="28"/>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spans="1:31" ht="14" x14ac:dyDescent="0.15">
      <c r="A713" s="27"/>
      <c r="B713" s="5"/>
      <c r="C713" s="28"/>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spans="1:31" ht="14" x14ac:dyDescent="0.15">
      <c r="A714" s="27"/>
      <c r="B714" s="5"/>
      <c r="C714" s="28"/>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spans="1:31" ht="14" x14ac:dyDescent="0.15">
      <c r="A715" s="27"/>
      <c r="B715" s="5"/>
      <c r="C715" s="28"/>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spans="1:31" ht="14" x14ac:dyDescent="0.15">
      <c r="A716" s="27"/>
      <c r="B716" s="5"/>
      <c r="C716" s="28"/>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spans="1:31" ht="14" x14ac:dyDescent="0.15">
      <c r="A717" s="27"/>
      <c r="B717" s="5"/>
      <c r="C717" s="28"/>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spans="1:31" ht="14" x14ac:dyDescent="0.15">
      <c r="A718" s="27"/>
      <c r="B718" s="5"/>
      <c r="C718" s="28"/>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spans="1:31" ht="14" x14ac:dyDescent="0.15">
      <c r="A719" s="27"/>
      <c r="B719" s="5"/>
      <c r="C719" s="28"/>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spans="1:31" ht="14" x14ac:dyDescent="0.15">
      <c r="A720" s="27"/>
      <c r="B720" s="5"/>
      <c r="C720" s="28"/>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spans="1:31" ht="14" x14ac:dyDescent="0.15">
      <c r="A721" s="27"/>
      <c r="B721" s="5"/>
      <c r="C721" s="28"/>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spans="1:31" ht="14" x14ac:dyDescent="0.15">
      <c r="A722" s="27"/>
      <c r="B722" s="5"/>
      <c r="C722" s="28"/>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spans="1:31" ht="14" x14ac:dyDescent="0.15">
      <c r="A723" s="27"/>
      <c r="B723" s="5"/>
      <c r="C723" s="28"/>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spans="1:31" ht="14" x14ac:dyDescent="0.15">
      <c r="A724" s="27"/>
      <c r="B724" s="5"/>
      <c r="C724" s="28"/>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spans="1:31" ht="14" x14ac:dyDescent="0.15">
      <c r="A725" s="27"/>
      <c r="B725" s="5"/>
      <c r="C725" s="28"/>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spans="1:31" ht="14" x14ac:dyDescent="0.15">
      <c r="A726" s="27"/>
      <c r="B726" s="5"/>
      <c r="C726" s="28"/>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spans="1:31" ht="14" x14ac:dyDescent="0.15">
      <c r="A727" s="27"/>
      <c r="B727" s="5"/>
      <c r="C727" s="28"/>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spans="1:31" ht="14" x14ac:dyDescent="0.15">
      <c r="A728" s="27"/>
      <c r="B728" s="5"/>
      <c r="C728" s="28"/>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spans="1:31" ht="14" x14ac:dyDescent="0.15">
      <c r="A729" s="27"/>
      <c r="B729" s="5"/>
      <c r="C729" s="28"/>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spans="1:31" ht="14" x14ac:dyDescent="0.15">
      <c r="A730" s="27"/>
      <c r="B730" s="5"/>
      <c r="C730" s="28"/>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spans="1:31" ht="14" x14ac:dyDescent="0.15">
      <c r="A731" s="27"/>
      <c r="B731" s="5"/>
      <c r="C731" s="28"/>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spans="1:31" ht="14" x14ac:dyDescent="0.15">
      <c r="A732" s="27"/>
      <c r="B732" s="5"/>
      <c r="C732" s="28"/>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spans="1:31" ht="14" x14ac:dyDescent="0.15">
      <c r="A733" s="27"/>
      <c r="B733" s="5"/>
      <c r="C733" s="28"/>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spans="1:31" ht="14" x14ac:dyDescent="0.15">
      <c r="A734" s="27"/>
      <c r="B734" s="5"/>
      <c r="C734" s="28"/>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spans="1:31" ht="14" x14ac:dyDescent="0.15">
      <c r="A735" s="27"/>
      <c r="B735" s="5"/>
      <c r="C735" s="28"/>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spans="1:31" ht="14" x14ac:dyDescent="0.15">
      <c r="A736" s="27"/>
      <c r="B736" s="5"/>
      <c r="C736" s="28"/>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spans="1:31" ht="14" x14ac:dyDescent="0.15">
      <c r="A737" s="27"/>
      <c r="B737" s="5"/>
      <c r="C737" s="28"/>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spans="1:31" ht="14" x14ac:dyDescent="0.15">
      <c r="A738" s="27"/>
      <c r="B738" s="5"/>
      <c r="C738" s="28"/>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spans="1:31" ht="14" x14ac:dyDescent="0.15">
      <c r="A739" s="27"/>
      <c r="B739" s="5"/>
      <c r="C739" s="28"/>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spans="1:31" ht="14" x14ac:dyDescent="0.15">
      <c r="A740" s="27"/>
      <c r="B740" s="5"/>
      <c r="C740" s="28"/>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spans="1:31" ht="14" x14ac:dyDescent="0.15">
      <c r="A741" s="27"/>
      <c r="B741" s="5"/>
      <c r="C741" s="28"/>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spans="1:31" ht="14" x14ac:dyDescent="0.15">
      <c r="A742" s="27"/>
      <c r="B742" s="5"/>
      <c r="C742" s="28"/>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spans="1:31" ht="14" x14ac:dyDescent="0.15">
      <c r="A743" s="27"/>
      <c r="B743" s="5"/>
      <c r="C743" s="28"/>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spans="1:31" ht="14" x14ac:dyDescent="0.15">
      <c r="A744" s="27"/>
      <c r="B744" s="5"/>
      <c r="C744" s="28"/>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spans="1:31" ht="14" x14ac:dyDescent="0.15">
      <c r="A745" s="27"/>
      <c r="B745" s="5"/>
      <c r="C745" s="28"/>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spans="1:31" ht="14" x14ac:dyDescent="0.15">
      <c r="A746" s="27"/>
      <c r="B746" s="5"/>
      <c r="C746" s="28"/>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spans="1:31" ht="14" x14ac:dyDescent="0.15">
      <c r="A747" s="27"/>
      <c r="B747" s="5"/>
      <c r="C747" s="28"/>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spans="1:31" ht="14" x14ac:dyDescent="0.15">
      <c r="A748" s="27"/>
      <c r="B748" s="5"/>
      <c r="C748" s="28"/>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spans="1:31" ht="14" x14ac:dyDescent="0.15">
      <c r="A749" s="27"/>
      <c r="B749" s="5"/>
      <c r="C749" s="28"/>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spans="1:31" ht="14" x14ac:dyDescent="0.15">
      <c r="A750" s="27"/>
      <c r="B750" s="5"/>
      <c r="C750" s="28"/>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spans="1:31" ht="14" x14ac:dyDescent="0.15">
      <c r="A751" s="27"/>
      <c r="B751" s="5"/>
      <c r="C751" s="28"/>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spans="1:31" ht="14" x14ac:dyDescent="0.15">
      <c r="A752" s="27"/>
      <c r="B752" s="5"/>
      <c r="C752" s="28"/>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spans="1:31" ht="14" x14ac:dyDescent="0.15">
      <c r="A753" s="27"/>
      <c r="B753" s="5"/>
      <c r="C753" s="28"/>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spans="1:31" ht="14" x14ac:dyDescent="0.15">
      <c r="A754" s="27"/>
      <c r="B754" s="5"/>
      <c r="C754" s="28"/>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spans="1:31" ht="14" x14ac:dyDescent="0.15">
      <c r="A755" s="27"/>
      <c r="B755" s="5"/>
      <c r="C755" s="28"/>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spans="1:31" ht="14" x14ac:dyDescent="0.15">
      <c r="A756" s="27"/>
      <c r="B756" s="5"/>
      <c r="C756" s="28"/>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spans="1:31" ht="14" x14ac:dyDescent="0.15">
      <c r="A757" s="27"/>
      <c r="B757" s="5"/>
      <c r="C757" s="28"/>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spans="1:31" ht="14" x14ac:dyDescent="0.15">
      <c r="A758" s="27"/>
      <c r="B758" s="5"/>
      <c r="C758" s="28"/>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spans="1:31" ht="14" x14ac:dyDescent="0.15">
      <c r="A759" s="27"/>
      <c r="B759" s="5"/>
      <c r="C759" s="28"/>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spans="1:31" ht="14" x14ac:dyDescent="0.15">
      <c r="A760" s="27"/>
      <c r="B760" s="5"/>
      <c r="C760" s="28"/>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spans="1:31" ht="14" x14ac:dyDescent="0.15">
      <c r="A761" s="27"/>
      <c r="B761" s="5"/>
      <c r="C761" s="28"/>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spans="1:31" ht="14" x14ac:dyDescent="0.15">
      <c r="A762" s="27"/>
      <c r="B762" s="5"/>
      <c r="C762" s="28"/>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spans="1:31" ht="14" x14ac:dyDescent="0.15">
      <c r="A763" s="27"/>
      <c r="B763" s="5"/>
      <c r="C763" s="28"/>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spans="1:31" ht="14" x14ac:dyDescent="0.15">
      <c r="A764" s="27"/>
      <c r="B764" s="5"/>
      <c r="C764" s="28"/>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spans="1:31" ht="14" x14ac:dyDescent="0.15">
      <c r="A765" s="27"/>
      <c r="B765" s="5"/>
      <c r="C765" s="28"/>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spans="1:31" ht="14" x14ac:dyDescent="0.15">
      <c r="A766" s="27"/>
      <c r="B766" s="5"/>
      <c r="C766" s="28"/>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spans="1:31" ht="14" x14ac:dyDescent="0.15">
      <c r="A767" s="27"/>
      <c r="B767" s="5"/>
      <c r="C767" s="28"/>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spans="1:31" ht="14" x14ac:dyDescent="0.15">
      <c r="A768" s="27"/>
      <c r="B768" s="5"/>
      <c r="C768" s="28"/>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spans="1:31" ht="14" x14ac:dyDescent="0.15">
      <c r="A769" s="27"/>
      <c r="B769" s="5"/>
      <c r="C769" s="28"/>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spans="1:31" ht="14" x14ac:dyDescent="0.15">
      <c r="A770" s="27"/>
      <c r="B770" s="5"/>
      <c r="C770" s="28"/>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spans="1:31" ht="14" x14ac:dyDescent="0.15">
      <c r="A771" s="27"/>
      <c r="B771" s="5"/>
      <c r="C771" s="28"/>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spans="1:31" ht="14" x14ac:dyDescent="0.15">
      <c r="A772" s="27"/>
      <c r="B772" s="5"/>
      <c r="C772" s="28"/>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spans="1:31" ht="14" x14ac:dyDescent="0.15">
      <c r="A773" s="27"/>
      <c r="B773" s="5"/>
      <c r="C773" s="28"/>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spans="1:31" ht="14" x14ac:dyDescent="0.15">
      <c r="A774" s="27"/>
      <c r="B774" s="5"/>
      <c r="C774" s="28"/>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spans="1:31" ht="14" x14ac:dyDescent="0.15">
      <c r="A775" s="27"/>
      <c r="B775" s="5"/>
      <c r="C775" s="28"/>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spans="1:31" ht="14" x14ac:dyDescent="0.15">
      <c r="A776" s="27"/>
      <c r="B776" s="5"/>
      <c r="C776" s="28"/>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spans="1:31" ht="14" x14ac:dyDescent="0.15">
      <c r="A777" s="27"/>
      <c r="B777" s="5"/>
      <c r="C777" s="28"/>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spans="1:31" ht="14" x14ac:dyDescent="0.15">
      <c r="A778" s="27"/>
      <c r="B778" s="5"/>
      <c r="C778" s="28"/>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spans="1:31" ht="14" x14ac:dyDescent="0.15">
      <c r="A779" s="27"/>
      <c r="B779" s="5"/>
      <c r="C779" s="28"/>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spans="1:31" ht="14" x14ac:dyDescent="0.15">
      <c r="A780" s="27"/>
      <c r="B780" s="5"/>
      <c r="C780" s="28"/>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spans="1:31" ht="14" x14ac:dyDescent="0.15">
      <c r="A781" s="27"/>
      <c r="B781" s="5"/>
      <c r="C781" s="28"/>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spans="1:31" ht="14" x14ac:dyDescent="0.15">
      <c r="A782" s="27"/>
      <c r="B782" s="5"/>
      <c r="C782" s="28"/>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spans="1:31" ht="14" x14ac:dyDescent="0.15">
      <c r="A783" s="27"/>
      <c r="B783" s="5"/>
      <c r="C783" s="28"/>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spans="1:31" ht="14" x14ac:dyDescent="0.15">
      <c r="A784" s="27"/>
      <c r="B784" s="5"/>
      <c r="C784" s="28"/>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spans="1:31" ht="14" x14ac:dyDescent="0.15">
      <c r="A785" s="27"/>
      <c r="B785" s="5"/>
      <c r="C785" s="28"/>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spans="1:31" ht="14" x14ac:dyDescent="0.15">
      <c r="A786" s="27"/>
      <c r="B786" s="5"/>
      <c r="C786" s="28"/>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spans="1:31" ht="14" x14ac:dyDescent="0.15">
      <c r="A787" s="27"/>
      <c r="B787" s="5"/>
      <c r="C787" s="28"/>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spans="1:31" ht="14" x14ac:dyDescent="0.15">
      <c r="A788" s="27"/>
      <c r="B788" s="5"/>
      <c r="C788" s="28"/>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spans="1:31" ht="14" x14ac:dyDescent="0.15">
      <c r="A789" s="27"/>
      <c r="B789" s="5"/>
      <c r="C789" s="28"/>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spans="1:31" ht="14" x14ac:dyDescent="0.15">
      <c r="A790" s="27"/>
      <c r="B790" s="5"/>
      <c r="C790" s="28"/>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spans="1:31" ht="14" x14ac:dyDescent="0.15">
      <c r="A791" s="27"/>
      <c r="B791" s="5"/>
      <c r="C791" s="28"/>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spans="1:31" ht="14" x14ac:dyDescent="0.15">
      <c r="A792" s="27"/>
      <c r="B792" s="5"/>
      <c r="C792" s="28"/>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spans="1:31" ht="14" x14ac:dyDescent="0.15">
      <c r="A793" s="27"/>
      <c r="B793" s="5"/>
      <c r="C793" s="28"/>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spans="1:31" ht="14" x14ac:dyDescent="0.15">
      <c r="A794" s="27"/>
      <c r="B794" s="5"/>
      <c r="C794" s="28"/>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spans="1:31" ht="14" x14ac:dyDescent="0.15">
      <c r="A795" s="27"/>
      <c r="B795" s="5"/>
      <c r="C795" s="28"/>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spans="1:31" ht="14" x14ac:dyDescent="0.15">
      <c r="A796" s="27"/>
      <c r="B796" s="5"/>
      <c r="C796" s="28"/>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spans="1:31" ht="14" x14ac:dyDescent="0.15">
      <c r="A797" s="27"/>
      <c r="B797" s="5"/>
      <c r="C797" s="28"/>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spans="1:31" ht="14" x14ac:dyDescent="0.15">
      <c r="A798" s="27"/>
      <c r="B798" s="5"/>
      <c r="C798" s="28"/>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spans="1:31" ht="14" x14ac:dyDescent="0.15">
      <c r="A799" s="27"/>
      <c r="B799" s="5"/>
      <c r="C799" s="28"/>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spans="1:31" ht="14" x14ac:dyDescent="0.15">
      <c r="A800" s="27"/>
      <c r="B800" s="5"/>
      <c r="C800" s="28"/>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spans="1:31" ht="14" x14ac:dyDescent="0.15">
      <c r="A801" s="27"/>
      <c r="B801" s="5"/>
      <c r="C801" s="28"/>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spans="1:31" ht="14" x14ac:dyDescent="0.15">
      <c r="A802" s="27"/>
      <c r="B802" s="5"/>
      <c r="C802" s="28"/>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spans="1:31" ht="14" x14ac:dyDescent="0.15">
      <c r="A803" s="27"/>
      <c r="B803" s="5"/>
      <c r="C803" s="28"/>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spans="1:31" ht="14" x14ac:dyDescent="0.15">
      <c r="A804" s="27"/>
      <c r="B804" s="5"/>
      <c r="C804" s="28"/>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spans="1:31" ht="14" x14ac:dyDescent="0.15">
      <c r="A805" s="27"/>
      <c r="B805" s="5"/>
      <c r="C805" s="28"/>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spans="1:31" ht="14" x14ac:dyDescent="0.15">
      <c r="A806" s="27"/>
      <c r="B806" s="5"/>
      <c r="C806" s="28"/>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spans="1:31" ht="14" x14ac:dyDescent="0.15">
      <c r="A807" s="27"/>
      <c r="B807" s="5"/>
      <c r="C807" s="28"/>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spans="1:31" ht="14" x14ac:dyDescent="0.15">
      <c r="A808" s="27"/>
      <c r="B808" s="5"/>
      <c r="C808" s="28"/>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spans="1:31" ht="14" x14ac:dyDescent="0.15">
      <c r="A809" s="27"/>
      <c r="B809" s="5"/>
      <c r="C809" s="28"/>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spans="1:31" ht="14" x14ac:dyDescent="0.15">
      <c r="A810" s="27"/>
      <c r="B810" s="5"/>
      <c r="C810" s="28"/>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spans="1:31" ht="14" x14ac:dyDescent="0.15">
      <c r="A811" s="27"/>
      <c r="B811" s="5"/>
      <c r="C811" s="28"/>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spans="1:31" ht="14" x14ac:dyDescent="0.15">
      <c r="A812" s="27"/>
      <c r="B812" s="5"/>
      <c r="C812" s="28"/>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spans="1:31" ht="14" x14ac:dyDescent="0.15">
      <c r="A813" s="27"/>
      <c r="B813" s="5"/>
      <c r="C813" s="28"/>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spans="1:31" ht="14" x14ac:dyDescent="0.15">
      <c r="A814" s="27"/>
      <c r="B814" s="5"/>
      <c r="C814" s="28"/>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spans="1:31" ht="14" x14ac:dyDescent="0.15">
      <c r="A815" s="27"/>
      <c r="B815" s="5"/>
      <c r="C815" s="28"/>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spans="1:31" ht="14" x14ac:dyDescent="0.15">
      <c r="A816" s="27"/>
      <c r="B816" s="5"/>
      <c r="C816" s="28"/>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spans="1:31" ht="14" x14ac:dyDescent="0.15">
      <c r="A817" s="27"/>
      <c r="B817" s="5"/>
      <c r="C817" s="28"/>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spans="1:31" ht="14" x14ac:dyDescent="0.15">
      <c r="A818" s="27"/>
      <c r="B818" s="5"/>
      <c r="C818" s="28"/>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spans="1:31" ht="14" x14ac:dyDescent="0.15">
      <c r="A819" s="27"/>
      <c r="B819" s="5"/>
      <c r="C819" s="28"/>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spans="1:31" ht="14" x14ac:dyDescent="0.15">
      <c r="A820" s="27"/>
      <c r="B820" s="5"/>
      <c r="C820" s="28"/>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spans="1:31" ht="14" x14ac:dyDescent="0.15">
      <c r="A821" s="27"/>
      <c r="B821" s="5"/>
      <c r="C821" s="28"/>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spans="1:31" ht="14" x14ac:dyDescent="0.15">
      <c r="A822" s="27"/>
      <c r="B822" s="5"/>
      <c r="C822" s="28"/>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spans="1:31" ht="14" x14ac:dyDescent="0.15">
      <c r="A823" s="27"/>
      <c r="B823" s="5"/>
      <c r="C823" s="28"/>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spans="1:31" ht="14" x14ac:dyDescent="0.15">
      <c r="A824" s="27"/>
      <c r="B824" s="5"/>
      <c r="C824" s="28"/>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spans="1:31" ht="14" x14ac:dyDescent="0.15">
      <c r="A825" s="27"/>
      <c r="B825" s="5"/>
      <c r="C825" s="28"/>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spans="1:31" ht="14" x14ac:dyDescent="0.15">
      <c r="A826" s="27"/>
      <c r="B826" s="5"/>
      <c r="C826" s="28"/>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spans="1:31" ht="14" x14ac:dyDescent="0.15">
      <c r="A827" s="27"/>
      <c r="B827" s="5"/>
      <c r="C827" s="28"/>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spans="1:31" ht="14" x14ac:dyDescent="0.15">
      <c r="A828" s="27"/>
      <c r="B828" s="5"/>
      <c r="C828" s="28"/>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spans="1:31" ht="14" x14ac:dyDescent="0.15">
      <c r="A829" s="27"/>
      <c r="B829" s="5"/>
      <c r="C829" s="28"/>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spans="1:31" ht="14" x14ac:dyDescent="0.15">
      <c r="A830" s="27"/>
      <c r="B830" s="5"/>
      <c r="C830" s="28"/>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spans="1:31" ht="14" x14ac:dyDescent="0.15">
      <c r="A831" s="27"/>
      <c r="B831" s="5"/>
      <c r="C831" s="28"/>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spans="1:31" ht="14" x14ac:dyDescent="0.15">
      <c r="A832" s="27"/>
      <c r="B832" s="5"/>
      <c r="C832" s="28"/>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spans="1:31" ht="14" x14ac:dyDescent="0.15">
      <c r="A833" s="27"/>
      <c r="B833" s="5"/>
      <c r="C833" s="28"/>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spans="1:31" ht="14" x14ac:dyDescent="0.15">
      <c r="A834" s="27"/>
      <c r="B834" s="5"/>
      <c r="C834" s="28"/>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spans="1:31" ht="14" x14ac:dyDescent="0.15">
      <c r="A835" s="27"/>
      <c r="B835" s="5"/>
      <c r="C835" s="28"/>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spans="1:31" ht="14" x14ac:dyDescent="0.15">
      <c r="A836" s="27"/>
      <c r="B836" s="5"/>
      <c r="C836" s="28"/>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spans="1:31" ht="14" x14ac:dyDescent="0.15">
      <c r="A837" s="27"/>
      <c r="B837" s="5"/>
      <c r="C837" s="28"/>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spans="1:31" ht="14" x14ac:dyDescent="0.15">
      <c r="A838" s="27"/>
      <c r="B838" s="5"/>
      <c r="C838" s="28"/>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spans="1:31" ht="14" x14ac:dyDescent="0.15">
      <c r="A839" s="27"/>
      <c r="B839" s="5"/>
      <c r="C839" s="28"/>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spans="1:31" ht="14" x14ac:dyDescent="0.15">
      <c r="A840" s="27"/>
      <c r="B840" s="5"/>
      <c r="C840" s="28"/>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spans="1:31" ht="14" x14ac:dyDescent="0.15">
      <c r="A841" s="27"/>
      <c r="B841" s="5"/>
      <c r="C841" s="28"/>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spans="1:31" ht="14" x14ac:dyDescent="0.15">
      <c r="A842" s="27"/>
      <c r="B842" s="5"/>
      <c r="C842" s="28"/>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spans="1:31" ht="14" x14ac:dyDescent="0.15">
      <c r="A843" s="27"/>
      <c r="B843" s="5"/>
      <c r="C843" s="28"/>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spans="1:31" ht="14" x14ac:dyDescent="0.15">
      <c r="A844" s="27"/>
      <c r="B844" s="5"/>
      <c r="C844" s="28"/>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spans="1:31" ht="14" x14ac:dyDescent="0.15">
      <c r="A845" s="27"/>
      <c r="B845" s="5"/>
      <c r="C845" s="28"/>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spans="1:31" ht="14" x14ac:dyDescent="0.15">
      <c r="A846" s="27"/>
      <c r="B846" s="5"/>
      <c r="C846" s="28"/>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spans="1:31" ht="14" x14ac:dyDescent="0.15">
      <c r="A847" s="27"/>
      <c r="B847" s="5"/>
      <c r="C847" s="28"/>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spans="1:31" ht="14" x14ac:dyDescent="0.15">
      <c r="A848" s="27"/>
      <c r="B848" s="5"/>
      <c r="C848" s="28"/>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spans="1:31" ht="14" x14ac:dyDescent="0.15">
      <c r="A849" s="27"/>
      <c r="B849" s="5"/>
      <c r="C849" s="28"/>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spans="1:31" ht="14" x14ac:dyDescent="0.15">
      <c r="A850" s="27"/>
      <c r="B850" s="5"/>
      <c r="C850" s="28"/>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spans="1:31" ht="14" x14ac:dyDescent="0.15">
      <c r="A851" s="27"/>
      <c r="B851" s="5"/>
      <c r="C851" s="28"/>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spans="1:31" ht="14" x14ac:dyDescent="0.15">
      <c r="A852" s="27"/>
      <c r="B852" s="5"/>
      <c r="C852" s="28"/>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spans="1:31" ht="14" x14ac:dyDescent="0.15">
      <c r="A853" s="27"/>
      <c r="B853" s="5"/>
      <c r="C853" s="28"/>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spans="1:31" ht="14" x14ac:dyDescent="0.15">
      <c r="A854" s="27"/>
      <c r="B854" s="5"/>
      <c r="C854" s="28"/>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spans="1:31" ht="14" x14ac:dyDescent="0.15">
      <c r="A855" s="27"/>
      <c r="B855" s="5"/>
      <c r="C855" s="28"/>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spans="1:31" ht="14" x14ac:dyDescent="0.15">
      <c r="A856" s="27"/>
      <c r="B856" s="5"/>
      <c r="C856" s="28"/>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spans="1:31" ht="14" x14ac:dyDescent="0.15">
      <c r="A857" s="27"/>
      <c r="B857" s="5"/>
      <c r="C857" s="28"/>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spans="1:31" ht="14" x14ac:dyDescent="0.15">
      <c r="A858" s="27"/>
      <c r="B858" s="5"/>
      <c r="C858" s="28"/>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spans="1:31" ht="14" x14ac:dyDescent="0.15">
      <c r="A859" s="27"/>
      <c r="B859" s="5"/>
      <c r="C859" s="28"/>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spans="1:31" ht="14" x14ac:dyDescent="0.15">
      <c r="A860" s="27"/>
      <c r="B860" s="5"/>
      <c r="C860" s="28"/>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spans="1:31" ht="14" x14ac:dyDescent="0.15">
      <c r="A861" s="27"/>
      <c r="B861" s="5"/>
      <c r="C861" s="28"/>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spans="1:31" ht="14" x14ac:dyDescent="0.15">
      <c r="A862" s="27"/>
      <c r="B862" s="5"/>
      <c r="C862" s="28"/>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spans="1:31" ht="14" x14ac:dyDescent="0.15">
      <c r="A863" s="27"/>
      <c r="B863" s="5"/>
      <c r="C863" s="28"/>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spans="1:31" ht="14" x14ac:dyDescent="0.15">
      <c r="A864" s="27"/>
      <c r="B864" s="5"/>
      <c r="C864" s="28"/>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spans="1:31" ht="14" x14ac:dyDescent="0.15">
      <c r="A865" s="27"/>
      <c r="B865" s="5"/>
      <c r="C865" s="28"/>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spans="1:31" ht="14" x14ac:dyDescent="0.15">
      <c r="A866" s="27"/>
      <c r="B866" s="5"/>
      <c r="C866" s="28"/>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spans="1:31" ht="14" x14ac:dyDescent="0.15">
      <c r="A867" s="27"/>
      <c r="B867" s="5"/>
      <c r="C867" s="28"/>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spans="1:31" ht="14" x14ac:dyDescent="0.15">
      <c r="A868" s="27"/>
      <c r="B868" s="5"/>
      <c r="C868" s="28"/>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spans="1:31" ht="14" x14ac:dyDescent="0.15">
      <c r="A869" s="27"/>
      <c r="B869" s="5"/>
      <c r="C869" s="28"/>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spans="1:31" ht="14" x14ac:dyDescent="0.15">
      <c r="A870" s="27"/>
      <c r="B870" s="5"/>
      <c r="C870" s="28"/>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spans="1:31" ht="14" x14ac:dyDescent="0.15">
      <c r="A871" s="27"/>
      <c r="B871" s="5"/>
      <c r="C871" s="28"/>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spans="1:31" ht="14" x14ac:dyDescent="0.15">
      <c r="A872" s="27"/>
      <c r="B872" s="5"/>
      <c r="C872" s="28"/>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spans="1:31" ht="14" x14ac:dyDescent="0.15">
      <c r="A873" s="27"/>
      <c r="B873" s="5"/>
      <c r="C873" s="28"/>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spans="1:31" ht="14" x14ac:dyDescent="0.15">
      <c r="A874" s="27"/>
      <c r="B874" s="5"/>
      <c r="C874" s="28"/>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spans="1:31" ht="14" x14ac:dyDescent="0.15">
      <c r="A875" s="27"/>
      <c r="B875" s="5"/>
      <c r="C875" s="28"/>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spans="1:31" ht="14" x14ac:dyDescent="0.15">
      <c r="A876" s="27"/>
      <c r="B876" s="5"/>
      <c r="C876" s="28"/>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spans="1:31" ht="14" x14ac:dyDescent="0.15">
      <c r="A877" s="27"/>
      <c r="B877" s="5"/>
      <c r="C877" s="28"/>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spans="1:31" ht="14" x14ac:dyDescent="0.15">
      <c r="A878" s="27"/>
      <c r="B878" s="5"/>
      <c r="C878" s="28"/>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spans="1:31" ht="14" x14ac:dyDescent="0.15">
      <c r="A879" s="27"/>
      <c r="B879" s="5"/>
      <c r="C879" s="28"/>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spans="1:31" ht="14" x14ac:dyDescent="0.15">
      <c r="A880" s="27"/>
      <c r="B880" s="5"/>
      <c r="C880" s="28"/>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spans="1:31" ht="14" x14ac:dyDescent="0.15">
      <c r="A881" s="27"/>
      <c r="B881" s="5"/>
      <c r="C881" s="28"/>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spans="1:31" ht="14" x14ac:dyDescent="0.15">
      <c r="A882" s="27"/>
      <c r="B882" s="5"/>
      <c r="C882" s="28"/>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spans="1:31" ht="14" x14ac:dyDescent="0.15">
      <c r="A883" s="27"/>
      <c r="B883" s="5"/>
      <c r="C883" s="28"/>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spans="1:31" ht="14" x14ac:dyDescent="0.15">
      <c r="A884" s="27"/>
      <c r="B884" s="5"/>
      <c r="C884" s="28"/>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spans="1:31" ht="14" x14ac:dyDescent="0.15">
      <c r="A885" s="27"/>
      <c r="B885" s="5"/>
      <c r="C885" s="28"/>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spans="1:31" ht="14" x14ac:dyDescent="0.15">
      <c r="A886" s="27"/>
      <c r="B886" s="5"/>
      <c r="C886" s="28"/>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spans="1:31" ht="14" x14ac:dyDescent="0.15">
      <c r="A887" s="27"/>
      <c r="B887" s="5"/>
      <c r="C887" s="28"/>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spans="1:31" ht="14" x14ac:dyDescent="0.15">
      <c r="A888" s="27"/>
      <c r="B888" s="5"/>
      <c r="C888" s="28"/>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spans="1:31" ht="14" x14ac:dyDescent="0.15">
      <c r="A889" s="27"/>
      <c r="B889" s="5"/>
      <c r="C889" s="28"/>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spans="1:31" ht="14" x14ac:dyDescent="0.15">
      <c r="A890" s="27"/>
      <c r="B890" s="5"/>
      <c r="C890" s="28"/>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spans="1:31" ht="14" x14ac:dyDescent="0.15">
      <c r="A891" s="27"/>
      <c r="B891" s="5"/>
      <c r="C891" s="28"/>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spans="1:31" ht="14" x14ac:dyDescent="0.15">
      <c r="A892" s="27"/>
      <c r="B892" s="5"/>
      <c r="C892" s="28"/>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spans="1:31" ht="14" x14ac:dyDescent="0.15">
      <c r="A893" s="27"/>
      <c r="B893" s="5"/>
      <c r="C893" s="28"/>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spans="1:31" ht="14" x14ac:dyDescent="0.15">
      <c r="A894" s="27"/>
      <c r="B894" s="5"/>
      <c r="C894" s="28"/>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spans="1:31" ht="14" x14ac:dyDescent="0.15">
      <c r="A895" s="27"/>
      <c r="B895" s="5"/>
      <c r="C895" s="28"/>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spans="1:31" ht="14" x14ac:dyDescent="0.15">
      <c r="A896" s="27"/>
      <c r="B896" s="5"/>
      <c r="C896" s="28"/>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spans="1:31" ht="14" x14ac:dyDescent="0.15">
      <c r="A897" s="27"/>
      <c r="B897" s="5"/>
      <c r="C897" s="28"/>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spans="1:31" ht="14" x14ac:dyDescent="0.15">
      <c r="A898" s="27"/>
      <c r="B898" s="5"/>
      <c r="C898" s="28"/>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spans="1:31" ht="14" x14ac:dyDescent="0.15">
      <c r="A899" s="27"/>
      <c r="B899" s="5"/>
      <c r="C899" s="28"/>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spans="1:31" ht="14" x14ac:dyDescent="0.15">
      <c r="A900" s="27"/>
      <c r="B900" s="5"/>
      <c r="C900" s="28"/>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spans="1:31" ht="14" x14ac:dyDescent="0.15">
      <c r="A901" s="27"/>
      <c r="B901" s="5"/>
      <c r="C901" s="28"/>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spans="1:31" ht="14" x14ac:dyDescent="0.15">
      <c r="A902" s="27"/>
      <c r="B902" s="5"/>
      <c r="C902" s="28"/>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spans="1:31" ht="14" x14ac:dyDescent="0.15">
      <c r="A903" s="27"/>
      <c r="B903" s="5"/>
      <c r="C903" s="28"/>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spans="1:31" ht="14" x14ac:dyDescent="0.15">
      <c r="A904" s="27"/>
      <c r="B904" s="5"/>
      <c r="C904" s="28"/>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spans="1:31" ht="14" x14ac:dyDescent="0.15">
      <c r="A905" s="27"/>
      <c r="B905" s="5"/>
      <c r="C905" s="28"/>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spans="1:31" ht="14" x14ac:dyDescent="0.15">
      <c r="A906" s="27"/>
      <c r="B906" s="5"/>
      <c r="C906" s="28"/>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spans="1:31" ht="14" x14ac:dyDescent="0.15">
      <c r="A907" s="27"/>
      <c r="B907" s="5"/>
      <c r="C907" s="28"/>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spans="1:31" ht="14" x14ac:dyDescent="0.15">
      <c r="A908" s="27"/>
      <c r="B908" s="5"/>
      <c r="C908" s="28"/>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spans="1:31" ht="14" x14ac:dyDescent="0.15">
      <c r="A909" s="27"/>
      <c r="B909" s="5"/>
      <c r="C909" s="28"/>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spans="1:31" ht="14" x14ac:dyDescent="0.15">
      <c r="A910" s="27"/>
      <c r="B910" s="5"/>
      <c r="C910" s="28"/>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spans="1:31" ht="14" x14ac:dyDescent="0.15">
      <c r="A911" s="27"/>
      <c r="B911" s="5"/>
      <c r="C911" s="28"/>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spans="1:31" ht="14" x14ac:dyDescent="0.15">
      <c r="A912" s="27"/>
      <c r="B912" s="5"/>
      <c r="C912" s="28"/>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spans="1:31" ht="14" x14ac:dyDescent="0.15">
      <c r="A913" s="27"/>
      <c r="B913" s="5"/>
      <c r="C913" s="28"/>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spans="1:31" ht="14" x14ac:dyDescent="0.15">
      <c r="A914" s="27"/>
      <c r="B914" s="5"/>
      <c r="C914" s="28"/>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spans="1:31" ht="14" x14ac:dyDescent="0.15">
      <c r="A915" s="27"/>
      <c r="B915" s="5"/>
      <c r="C915" s="28"/>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spans="1:31" ht="14" x14ac:dyDescent="0.15">
      <c r="A916" s="27"/>
      <c r="B916" s="5"/>
      <c r="C916" s="28"/>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spans="1:31" ht="14" x14ac:dyDescent="0.15">
      <c r="A917" s="27"/>
      <c r="B917" s="5"/>
      <c r="C917" s="28"/>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spans="1:31" ht="14" x14ac:dyDescent="0.15">
      <c r="A918" s="27"/>
      <c r="B918" s="5"/>
      <c r="C918" s="28"/>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spans="1:31" ht="14" x14ac:dyDescent="0.15">
      <c r="A919" s="27"/>
      <c r="B919" s="5"/>
      <c r="C919" s="28"/>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spans="1:31" ht="14" x14ac:dyDescent="0.15">
      <c r="A920" s="27"/>
      <c r="B920" s="5"/>
      <c r="C920" s="28"/>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spans="1:31" ht="14" x14ac:dyDescent="0.15">
      <c r="A921" s="27"/>
      <c r="B921" s="5"/>
      <c r="C921" s="28"/>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spans="1:31" ht="14" x14ac:dyDescent="0.15">
      <c r="A922" s="27"/>
      <c r="B922" s="5"/>
      <c r="C922" s="28"/>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spans="1:31" ht="14" x14ac:dyDescent="0.15">
      <c r="A923" s="27"/>
      <c r="B923" s="5"/>
      <c r="C923" s="28"/>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spans="1:31" ht="14" x14ac:dyDescent="0.15">
      <c r="A924" s="27"/>
      <c r="B924" s="5"/>
      <c r="C924" s="28"/>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spans="1:31" ht="14" x14ac:dyDescent="0.15">
      <c r="A925" s="27"/>
      <c r="B925" s="5"/>
      <c r="C925" s="28"/>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spans="1:31" ht="14" x14ac:dyDescent="0.15">
      <c r="A926" s="27"/>
      <c r="B926" s="5"/>
      <c r="C926" s="28"/>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spans="1:31" ht="14" x14ac:dyDescent="0.15">
      <c r="A927" s="27"/>
      <c r="B927" s="5"/>
      <c r="C927" s="28"/>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spans="1:31" ht="14" x14ac:dyDescent="0.15">
      <c r="A928" s="27"/>
      <c r="B928" s="5"/>
      <c r="C928" s="28"/>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spans="1:31" ht="14" x14ac:dyDescent="0.15">
      <c r="A929" s="27"/>
      <c r="B929" s="5"/>
      <c r="C929" s="28"/>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spans="1:31" ht="14" x14ac:dyDescent="0.15">
      <c r="A930" s="27"/>
      <c r="B930" s="5"/>
      <c r="C930" s="28"/>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spans="1:31" ht="14" x14ac:dyDescent="0.15">
      <c r="A931" s="27"/>
      <c r="B931" s="5"/>
      <c r="C931" s="28"/>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spans="1:31" ht="14" x14ac:dyDescent="0.15">
      <c r="A932" s="27"/>
      <c r="B932" s="5"/>
      <c r="C932" s="28"/>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spans="1:31" ht="14" x14ac:dyDescent="0.15">
      <c r="A933" s="27"/>
      <c r="B933" s="5"/>
      <c r="C933" s="28"/>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spans="1:31" ht="14" x14ac:dyDescent="0.15">
      <c r="A934" s="27"/>
      <c r="B934" s="5"/>
      <c r="C934" s="28"/>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spans="1:31" ht="14" x14ac:dyDescent="0.15">
      <c r="A935" s="27"/>
      <c r="B935" s="5"/>
      <c r="C935" s="28"/>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spans="1:31" ht="14" x14ac:dyDescent="0.15">
      <c r="A936" s="27"/>
      <c r="B936" s="5"/>
      <c r="C936" s="28"/>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spans="1:31" ht="14" x14ac:dyDescent="0.15">
      <c r="A937" s="27"/>
      <c r="B937" s="5"/>
      <c r="C937" s="28"/>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spans="1:31" ht="14" x14ac:dyDescent="0.15">
      <c r="A938" s="27"/>
      <c r="B938" s="5"/>
      <c r="C938" s="28"/>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spans="1:31" ht="14" x14ac:dyDescent="0.15">
      <c r="A939" s="27"/>
      <c r="B939" s="5"/>
      <c r="C939" s="28"/>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spans="1:31" ht="14" x14ac:dyDescent="0.15">
      <c r="A940" s="27"/>
      <c r="B940" s="5"/>
      <c r="C940" s="28"/>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spans="1:31" ht="14" x14ac:dyDescent="0.15">
      <c r="A941" s="27"/>
      <c r="B941" s="5"/>
      <c r="C941" s="28"/>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spans="1:31" ht="14" x14ac:dyDescent="0.15">
      <c r="A942" s="27"/>
      <c r="B942" s="5"/>
      <c r="C942" s="28"/>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spans="1:31" ht="14" x14ac:dyDescent="0.15">
      <c r="A943" s="27"/>
      <c r="B943" s="5"/>
      <c r="C943" s="28"/>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spans="1:31" ht="14" x14ac:dyDescent="0.15">
      <c r="A944" s="27"/>
      <c r="B944" s="5"/>
      <c r="C944" s="28"/>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spans="1:31" ht="14" x14ac:dyDescent="0.15">
      <c r="A945" s="27"/>
      <c r="B945" s="5"/>
      <c r="C945" s="28"/>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spans="1:31" ht="14" x14ac:dyDescent="0.15">
      <c r="A946" s="27"/>
      <c r="B946" s="5"/>
      <c r="C946" s="28"/>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spans="1:31" ht="14" x14ac:dyDescent="0.15">
      <c r="A947" s="27"/>
      <c r="B947" s="5"/>
      <c r="C947" s="28"/>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spans="1:31" ht="14" x14ac:dyDescent="0.15">
      <c r="A948" s="27"/>
      <c r="B948" s="5"/>
      <c r="C948" s="28"/>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spans="1:31" ht="14" x14ac:dyDescent="0.15">
      <c r="A949" s="27"/>
      <c r="B949" s="5"/>
      <c r="C949" s="28"/>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spans="1:31" ht="14" x14ac:dyDescent="0.15">
      <c r="A950" s="27"/>
      <c r="B950" s="5"/>
      <c r="C950" s="28"/>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spans="1:31" ht="14" x14ac:dyDescent="0.15">
      <c r="A951" s="27"/>
      <c r="B951" s="5"/>
      <c r="C951" s="28"/>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spans="1:31" ht="14" x14ac:dyDescent="0.15">
      <c r="A952" s="27"/>
      <c r="B952" s="5"/>
      <c r="C952" s="28"/>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spans="1:31" ht="14" x14ac:dyDescent="0.15">
      <c r="A953" s="27"/>
      <c r="B953" s="5"/>
      <c r="C953" s="28"/>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spans="1:31" ht="14" x14ac:dyDescent="0.15">
      <c r="A954" s="27"/>
      <c r="B954" s="5"/>
      <c r="C954" s="28"/>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spans="1:31" ht="14" x14ac:dyDescent="0.15">
      <c r="A955" s="27"/>
      <c r="B955" s="5"/>
      <c r="C955" s="28"/>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spans="1:31" ht="14" x14ac:dyDescent="0.15">
      <c r="A956" s="27"/>
      <c r="B956" s="5"/>
      <c r="C956" s="28"/>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spans="1:31" ht="14" x14ac:dyDescent="0.15">
      <c r="A957" s="27"/>
      <c r="B957" s="5"/>
      <c r="C957" s="28"/>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spans="1:31" ht="14" x14ac:dyDescent="0.15">
      <c r="A958" s="27"/>
      <c r="B958" s="5"/>
      <c r="C958" s="28"/>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spans="1:31" ht="14" x14ac:dyDescent="0.15">
      <c r="A959" s="27"/>
      <c r="B959" s="5"/>
      <c r="C959" s="28"/>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spans="1:31" ht="14" x14ac:dyDescent="0.15">
      <c r="A960" s="27"/>
      <c r="B960" s="5"/>
      <c r="C960" s="28"/>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spans="1:31" ht="14" x14ac:dyDescent="0.15">
      <c r="A961" s="27"/>
      <c r="B961" s="5"/>
      <c r="C961" s="28"/>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spans="1:31" ht="14" x14ac:dyDescent="0.15">
      <c r="A962" s="27"/>
      <c r="B962" s="5"/>
      <c r="C962" s="28"/>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spans="1:31" ht="14" x14ac:dyDescent="0.15">
      <c r="A963" s="27"/>
      <c r="B963" s="5"/>
      <c r="C963" s="28"/>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spans="1:31" ht="14" x14ac:dyDescent="0.15">
      <c r="A964" s="27"/>
      <c r="B964" s="5"/>
      <c r="C964" s="28"/>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spans="1:31" ht="14" x14ac:dyDescent="0.15">
      <c r="A965" s="27"/>
      <c r="B965" s="5"/>
      <c r="C965" s="28"/>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spans="1:31" ht="14" x14ac:dyDescent="0.15">
      <c r="A966" s="27"/>
      <c r="B966" s="5"/>
      <c r="C966" s="28"/>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spans="1:31" ht="14" x14ac:dyDescent="0.15">
      <c r="A967" s="27"/>
      <c r="B967" s="5"/>
      <c r="C967" s="28"/>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spans="1:31" ht="14" x14ac:dyDescent="0.15">
      <c r="A968" s="27"/>
      <c r="B968" s="5"/>
      <c r="C968" s="28"/>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spans="1:31" ht="14" x14ac:dyDescent="0.15">
      <c r="A969" s="27"/>
      <c r="B969" s="5"/>
      <c r="C969" s="28"/>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spans="1:31" ht="14" x14ac:dyDescent="0.15">
      <c r="A970" s="27"/>
      <c r="B970" s="5"/>
      <c r="C970" s="28"/>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spans="1:31" ht="14" x14ac:dyDescent="0.15">
      <c r="A971" s="27"/>
      <c r="B971" s="5"/>
      <c r="C971" s="28"/>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spans="1:31" ht="14" x14ac:dyDescent="0.15">
      <c r="A972" s="27"/>
      <c r="B972" s="5"/>
      <c r="C972" s="28"/>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spans="1:31" ht="14" x14ac:dyDescent="0.15">
      <c r="A973" s="27"/>
      <c r="B973" s="5"/>
      <c r="C973" s="28"/>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sheetData>
  <hyperlinks>
    <hyperlink ref="I2" r:id="rId1" xr:uid="{00000000-0004-0000-0000-000000000000}"/>
    <hyperlink ref="I7" r:id="rId2" xr:uid="{00000000-0004-0000-0000-000001000000}"/>
  </hyperlinks>
  <printOptions horizontalCentered="1" gridLines="1"/>
  <pageMargins left="0.7" right="0.7" top="0.75" bottom="0.75" header="0" footer="0"/>
  <pageSetup fitToWidth="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2.6640625" defaultRowHeight="15.75" customHeight="1" x14ac:dyDescent="0.15"/>
  <cols>
    <col min="1" max="1" width="11.1640625" customWidth="1"/>
    <col min="2" max="2" width="12.6640625" customWidth="1"/>
    <col min="3" max="3" width="95.33203125" customWidth="1"/>
    <col min="4" max="4" width="33.6640625" customWidth="1"/>
    <col min="5" max="26" width="10.33203125" customWidth="1"/>
  </cols>
  <sheetData>
    <row r="1" spans="1:26" ht="15.75" customHeight="1" x14ac:dyDescent="0.15">
      <c r="A1" s="6" t="str">
        <f ca="1">IFERROR(__xludf.DUMMYFUNCTION("QUERY(Sheet1!A:AD, ""SELECT A, B, S, I WHERE V = 'PUBLISH_ANON' AND C = 'VERIFIED_WEB'"", 1)"),"timestamp")</f>
        <v>timestamp</v>
      </c>
      <c r="B1" s="6" t="str">
        <f ca="1">IFERROR(__xludf.DUMMYFUNCTION("""COMPUTED_VALUE"""),"log_id")</f>
        <v>log_id</v>
      </c>
      <c r="C1" s="6" t="str">
        <f ca="1">IFERROR(__xludf.DUMMYFUNCTION("""COMPUTED_VALUE"""),"narrative")</f>
        <v>narrative</v>
      </c>
      <c r="D1" s="6" t="str">
        <f ca="1">IFERROR(__xludf.DUMMYFUNCTION("""COMPUTED_VALUE"""),"location_specific")</f>
        <v>location_specific</v>
      </c>
      <c r="E1" s="6"/>
      <c r="F1" s="6"/>
      <c r="G1" s="6"/>
      <c r="H1" s="6"/>
      <c r="I1" s="6"/>
      <c r="J1" s="6"/>
      <c r="K1" s="6"/>
      <c r="L1" s="6"/>
      <c r="M1" s="6"/>
      <c r="N1" s="6"/>
      <c r="O1" s="6"/>
      <c r="P1" s="6"/>
      <c r="Q1" s="6"/>
      <c r="R1" s="6"/>
      <c r="S1" s="6"/>
      <c r="T1" s="6"/>
      <c r="U1" s="6"/>
      <c r="V1" s="6"/>
      <c r="W1" s="6"/>
      <c r="X1" s="6"/>
      <c r="Y1" s="6"/>
      <c r="Z1" s="6"/>
    </row>
    <row r="2" spans="1:26" ht="15.75" customHeight="1" x14ac:dyDescent="0.15">
      <c r="A2" s="7">
        <f ca="1">IFERROR(__xludf.DUMMYFUNCTION("""COMPUTED_VALUE"""),46026.0275005902)</f>
        <v>46026.0275005902</v>
      </c>
      <c r="B2" s="6" t="str">
        <f ca="1">IFERROR(__xludf.DUMMYFUNCTION("""COMPUTED_VALUE"""),"CASE-47528")</f>
        <v>CASE-47528</v>
      </c>
      <c r="C2" s="6" t="str">
        <f ca="1">IFERROR(__xludf.DUMMYFUNCTION("""COMPUTED_VALUE"""),"March 24th, 2023 - I visited The Brick Saloon with a group of ~10 other women as part of a bachelorette weekend. It was in the evening around 7-8pm, one half of the building was the original bar area and the other was a stage with live band playing and da"&amp;"ncefloor. One of the employees asked if we wanted to see the basement which was the former jail for the town, we agreed and they brought us downstairs. It was open to the entire floorplan of the main building, with a few gated cells on the nearest side an"&amp;"d foundation pilings throughout the rest. It was pretty much a giant supply room, mostly cleaning and barware but more thrifty/antique items toward the rear of the building. The employee mentioned hearing laughter sometimes when he was downstairs alone, I"&amp;" was a little curious so myself and another girl went further back away from the rest of the group to explore.
She and I split up towards the back of the large room. I turned a corner around a foundation footing and saw what looked like a rectangular m"&amp;"irror leaning against the wall to my right. It was about 6x3 ft similar to a dressing room door mirror. As I walked forward I turned towards it to see my reflection, but it only showed the wall opposite me. I was a little panicked and surprised, so I call"&amp;"ed for my friend who had followed me away from the group. When she stepped in front of it she also did not appear. We waved our arms, changed angles, nothing. Finally, I reached out to touch it and felt nothing but air. It was an opening in the foundation"&amp;" footing that looked like a mirror image of the opposite side, and something about it gave the appearance of a tall narrow mirror leaning against a wall somehow.
Since it was with a bachelorette group at a bar, I feel that I should add that it was our "&amp;"first stop of the night on a Friday evening. I had 2 light beers as a quick ""pregame"" at the rental house after arriving from Seattle, before our drive from Suncadia (Cle Elum) to Roslyn. I also VERY regularly smoke and vape cannabis so that was involve"&amp;"d as well. None of this is out of the ordinary for me by any means (basically any given Tuesday) and I am very confident in saying that it had little to no effect on my experience. Especially given that it was a shared experience, and had been my only par"&amp;"anormal experience at the time. ")</f>
        <v xml:space="preserve">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v>
      </c>
      <c r="D2" s="6" t="str">
        <f ca="1">IFERROR(__xludf.DUMMYFUNCTION("""COMPUTED_VALUE"""),"The Brick Saloon in Roslyn WA, basement")</f>
        <v>The Brick Saloon in Roslyn WA, basement</v>
      </c>
      <c r="E2" s="6"/>
      <c r="F2" s="6"/>
      <c r="G2" s="6"/>
      <c r="H2" s="6"/>
      <c r="I2" s="6"/>
      <c r="J2" s="6"/>
      <c r="K2" s="6"/>
      <c r="L2" s="6"/>
      <c r="M2" s="6"/>
      <c r="N2" s="6"/>
      <c r="O2" s="6"/>
      <c r="P2" s="6"/>
      <c r="Q2" s="6"/>
      <c r="R2" s="6"/>
      <c r="S2" s="6"/>
      <c r="T2" s="6"/>
      <c r="U2" s="6"/>
      <c r="V2" s="6"/>
      <c r="W2" s="6"/>
      <c r="X2" s="6"/>
      <c r="Y2" s="6"/>
      <c r="Z2" s="6"/>
    </row>
    <row r="3" spans="1:26" ht="15.75" customHeight="1" x14ac:dyDescent="0.15">
      <c r="A3" s="7">
        <f ca="1">IFERROR(__xludf.DUMMYFUNCTION("""COMPUTED_VALUE"""),46026.1995316087)</f>
        <v>46026.199531608698</v>
      </c>
      <c r="B3" s="6" t="str">
        <f ca="1">IFERROR(__xludf.DUMMYFUNCTION("""COMPUTED_VALUE"""),"CASE-75731")</f>
        <v>CASE-75731</v>
      </c>
      <c r="C3" s="6" t="str">
        <f ca="1">IFERROR(__xludf.DUMMYFUNCTION("""COMPUTED_VALUE"""),"I was driving home late at night along a very familiar route. A section of this route ""repeated"" several minutes after I'd already driven through. The total drive took the same amount of time as usual, but my car displays ""trip information"" on the das"&amp;"h and the distance driven was about 5 miles too far.")</f>
        <v>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v>
      </c>
      <c r="D3" s="6"/>
      <c r="E3" s="6"/>
      <c r="F3" s="6"/>
      <c r="G3" s="6"/>
      <c r="H3" s="6"/>
      <c r="I3" s="6"/>
      <c r="J3" s="6"/>
      <c r="K3" s="6"/>
      <c r="L3" s="6"/>
      <c r="M3" s="6"/>
      <c r="N3" s="6"/>
      <c r="O3" s="6"/>
      <c r="P3" s="6"/>
      <c r="Q3" s="6"/>
      <c r="R3" s="6"/>
      <c r="S3" s="6"/>
      <c r="T3" s="6"/>
      <c r="U3" s="6"/>
      <c r="V3" s="6"/>
      <c r="W3" s="6"/>
      <c r="X3" s="6"/>
      <c r="Y3" s="6"/>
      <c r="Z3" s="6"/>
    </row>
    <row r="4" spans="1:26" ht="15.75" customHeight="1" x14ac:dyDescent="0.15">
      <c r="A4" s="7">
        <f ca="1">IFERROR(__xludf.DUMMYFUNCTION("""COMPUTED_VALUE"""),46026.2272098842)</f>
        <v>46026.2272098842</v>
      </c>
      <c r="B4" s="6" t="str">
        <f ca="1">IFERROR(__xludf.DUMMYFUNCTION("""COMPUTED_VALUE"""),"CASE-96915")</f>
        <v>CASE-96915</v>
      </c>
      <c r="C4" s="6" t="str">
        <f ca="1">IFERROR(__xludf.DUMMYFUNCTION("""COMPUTED_VALUE"""),"Time stopped but music blared. When the song ended and the next began, time resumed. Inbetween was chaos and the other side was normality yet again as if nothing at all had happened.  ")</f>
        <v xml:space="preserve">Time stopped but music blared. When the song ended and the next began, time resumed. Inbetween was chaos and the other side was normality yet again as if nothing at all had happened.  </v>
      </c>
      <c r="D4" s="6" t="str">
        <f ca="1">IFERROR(__xludf.DUMMYFUNCTION("""COMPUTED_VALUE"""),"Seattle-ish")</f>
        <v>Seattle-ish</v>
      </c>
      <c r="E4" s="6"/>
      <c r="F4" s="6"/>
      <c r="G4" s="6"/>
      <c r="H4" s="6"/>
      <c r="I4" s="6"/>
      <c r="J4" s="6"/>
      <c r="K4" s="6"/>
      <c r="L4" s="6"/>
      <c r="M4" s="6"/>
      <c r="N4" s="6"/>
      <c r="O4" s="6"/>
      <c r="P4" s="6"/>
      <c r="Q4" s="6"/>
      <c r="R4" s="6"/>
      <c r="S4" s="6"/>
      <c r="T4" s="6"/>
      <c r="U4" s="6"/>
      <c r="V4" s="6"/>
      <c r="W4" s="6"/>
      <c r="X4" s="6"/>
      <c r="Y4" s="6"/>
      <c r="Z4" s="6"/>
    </row>
    <row r="5" spans="1:26" ht="15.75" customHeight="1" x14ac:dyDescent="0.15">
      <c r="A5" s="7">
        <f ca="1">IFERROR(__xludf.DUMMYFUNCTION("""COMPUTED_VALUE"""),46026.7946630439)</f>
        <v>46026.794663043896</v>
      </c>
      <c r="B5" s="6" t="str">
        <f ca="1">IFERROR(__xludf.DUMMYFUNCTION("""COMPUTED_VALUE"""),"CASE-46678")</f>
        <v>CASE-46678</v>
      </c>
      <c r="C5" s="6" t="str">
        <f ca="1">IFERROR(__xludf.DUMMYFUNCTION("""COMPUTED_VALUE"""),"Brief humming/grunt sounds ""hmm"" ""hmm"" ")</f>
        <v xml:space="preserve">Brief humming/grunt sounds "hmm" "hmm" </v>
      </c>
      <c r="D5" s="6" t="str">
        <f ca="1">IFERROR(__xludf.DUMMYFUNCTION("""COMPUTED_VALUE"""),"Duckabush River trail")</f>
        <v>Duckabush River trail</v>
      </c>
      <c r="E5" s="6"/>
      <c r="F5" s="6"/>
      <c r="G5" s="6"/>
      <c r="H5" s="6"/>
      <c r="I5" s="6"/>
      <c r="J5" s="6"/>
      <c r="K5" s="6"/>
      <c r="L5" s="6"/>
      <c r="M5" s="6"/>
      <c r="N5" s="6"/>
      <c r="O5" s="6"/>
      <c r="P5" s="6"/>
      <c r="Q5" s="6"/>
      <c r="R5" s="6"/>
      <c r="S5" s="6"/>
      <c r="T5" s="6"/>
      <c r="U5" s="6"/>
      <c r="V5" s="6"/>
      <c r="W5" s="6"/>
      <c r="X5" s="6"/>
      <c r="Y5" s="6"/>
      <c r="Z5" s="6"/>
    </row>
    <row r="6" spans="1:26" ht="15.75" customHeight="1" x14ac:dyDescent="0.15">
      <c r="A6" s="7">
        <f ca="1">IFERROR(__xludf.DUMMYFUNCTION("""COMPUTED_VALUE"""),46026.7967086689)</f>
        <v>46026.796708668902</v>
      </c>
      <c r="B6" s="6" t="str">
        <f ca="1">IFERROR(__xludf.DUMMYFUNCTION("""COMPUTED_VALUE"""),"CASE-46732")</f>
        <v>CASE-46732</v>
      </c>
      <c r="C6" s="6" t="str">
        <f ca="1">IFERROR(__xludf.DUMMYFUNCTION("""COMPUTED_VALUE"""),"For the last week, every time I go to sleep, I dream another life that has its own continuity. It feels so lived in and real. All these people and places that I know but I don’t know them in this reality or state of consciousness. I can barely remember an"&amp;"y of it when I wake up, but the feeling lingers and I can’t wait to see what happens next.")</f>
        <v>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v>
      </c>
      <c r="D6" s="6" t="str">
        <f ca="1">IFERROR(__xludf.DUMMYFUNCTION("""COMPUTED_VALUE"""),"Central District Seattle")</f>
        <v>Central District Seattle</v>
      </c>
      <c r="E6" s="6"/>
      <c r="F6" s="6"/>
      <c r="G6" s="6"/>
      <c r="H6" s="6"/>
      <c r="I6" s="6"/>
      <c r="J6" s="6"/>
      <c r="K6" s="6"/>
      <c r="L6" s="6"/>
      <c r="M6" s="6"/>
      <c r="N6" s="6"/>
      <c r="O6" s="6"/>
      <c r="P6" s="6"/>
      <c r="Q6" s="6"/>
      <c r="R6" s="6"/>
      <c r="S6" s="6"/>
      <c r="T6" s="6"/>
      <c r="U6" s="6"/>
      <c r="V6" s="6"/>
      <c r="W6" s="6"/>
      <c r="X6" s="6"/>
      <c r="Y6" s="6"/>
      <c r="Z6" s="6"/>
    </row>
    <row r="7" spans="1:26" ht="15.75" customHeight="1" x14ac:dyDescent="0.15">
      <c r="A7" s="7">
        <f ca="1">IFERROR(__xludf.DUMMYFUNCTION("""COMPUTED_VALUE"""),46026.9864824652)</f>
        <v>46026.986482465203</v>
      </c>
      <c r="B7" s="6" t="str">
        <f ca="1">IFERROR(__xludf.DUMMYFUNCTION("""COMPUTED_VALUE"""),"CASE-59846")</f>
        <v>CASE-59846</v>
      </c>
      <c r="C7" s="6" t="str">
        <f ca="1">IFERROR(__xludf.DUMMYFUNCTION("""COMPUTED_VALUE"""),"I was waiting for the bus after work and noticed a handful of lights in the southwestern sky. My first thought was that they were planes, but they were solid lights that hovered in the same spot for a good while. As I watched them, they moved slowly to fo"&amp;"rm a triangle. I watched them for about 15 minutes before my bus came and by the time I got off at my stop, I couldn't see them anymore.")</f>
        <v>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v>
      </c>
      <c r="D7" s="6" t="str">
        <f ca="1">IFERROR(__xludf.DUMMYFUNCTION("""COMPUTED_VALUE"""),"34th Ave W &amp; W Raye Street")</f>
        <v>34th Ave W &amp; W Raye Street</v>
      </c>
      <c r="E7" s="6"/>
      <c r="F7" s="6"/>
      <c r="G7" s="6"/>
      <c r="H7" s="6"/>
      <c r="I7" s="6"/>
      <c r="J7" s="6"/>
      <c r="K7" s="6"/>
      <c r="L7" s="6"/>
      <c r="M7" s="6"/>
      <c r="N7" s="6"/>
      <c r="O7" s="6"/>
      <c r="P7" s="6"/>
      <c r="Q7" s="6"/>
      <c r="R7" s="6"/>
      <c r="S7" s="6"/>
      <c r="T7" s="6"/>
      <c r="U7" s="6"/>
      <c r="V7" s="6"/>
      <c r="W7" s="6"/>
      <c r="X7" s="6"/>
      <c r="Y7" s="6"/>
      <c r="Z7" s="6"/>
    </row>
    <row r="8" spans="1:26" ht="15.75" customHeight="1" x14ac:dyDescent="0.15">
      <c r="A8" s="7">
        <f ca="1">IFERROR(__xludf.DUMMYFUNCTION("""COMPUTED_VALUE"""),46027.1057598263)</f>
        <v>46027.1057598263</v>
      </c>
      <c r="B8" s="6" t="str">
        <f ca="1">IFERROR(__xludf.DUMMYFUNCTION("""COMPUTED_VALUE"""),"CASE-51685")</f>
        <v>CASE-51685</v>
      </c>
      <c r="C8" s="6" t="str">
        <f ca="1">IFERROR(__xludf.DUMMYFUNCTION("""COMPUTED_VALUE"""),"I was diving in Lake Washington, doing a salvage for a sunken boat. We did not know the actual location so we had to still locate it. I had a crew above in a tug boat monitoring me, and I was in the water, about 120 feet underwater. I was walking on the b"&amp;"ottom of the lake, and it was pitch black but I had a flashlight. Everything was unremarkable until I felt a swoosh past, like a big movement of water, it even made me stumble. My heart started beating fast because I felt a sudden fear knowing that nothin"&amp;"g should be able to move that big in Lake Washington. I kept walking and looking with my flashlight then I saw giant fish scales, white and orange. It was a giant koi fish. I followed it with my flashlight and it had to have been the size of a Mini Cooper"&amp;", it swam in and out of the range of my flashlight for a little while and when my fear finally subsided and I was able to move, I swam up to get out of the water. ")</f>
        <v xml:space="preserve">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v>
      </c>
      <c r="D8" s="6" t="str">
        <f ca="1">IFERROR(__xludf.DUMMYFUNCTION("""COMPUTED_VALUE"""),"Lake Washington ")</f>
        <v xml:space="preserve">Lake Washington </v>
      </c>
      <c r="E8" s="6"/>
      <c r="F8" s="6"/>
      <c r="G8" s="6"/>
      <c r="H8" s="6"/>
      <c r="I8" s="6"/>
      <c r="J8" s="6"/>
      <c r="K8" s="6"/>
      <c r="L8" s="6"/>
      <c r="M8" s="6"/>
      <c r="N8" s="6"/>
      <c r="O8" s="6"/>
      <c r="P8" s="6"/>
      <c r="Q8" s="6"/>
      <c r="R8" s="6"/>
      <c r="S8" s="6"/>
      <c r="T8" s="6"/>
      <c r="U8" s="6"/>
      <c r="V8" s="6"/>
      <c r="W8" s="6"/>
      <c r="X8" s="6"/>
      <c r="Y8" s="6"/>
      <c r="Z8" s="6"/>
    </row>
    <row r="9" spans="1:26" ht="15.75" customHeight="1" x14ac:dyDescent="0.15">
      <c r="A9" s="7">
        <f ca="1">IFERROR(__xludf.DUMMYFUNCTION("""COMPUTED_VALUE"""),46027.3816747569)</f>
        <v>46027.3816747569</v>
      </c>
      <c r="B9" s="6" t="str">
        <f ca="1">IFERROR(__xludf.DUMMYFUNCTION("""COMPUTED_VALUE"""),"CASE-85761")</f>
        <v>CASE-85761</v>
      </c>
      <c r="C9" s="6" t="str">
        <f ca="1">IFERROR(__xludf.DUMMYFUNCTION("""COMPUTED_VALUE"""),"There were 7 of us sitting around a campfire at a campground with about 12 lots. We heard someone yell for help. We sat silently for a few seconds before we all heard it again. It was coming very clearly from the direction of one of the other plots. I gra"&amp;"bbed a flashlight and 3 of us went to go down the path to check out the other lot. we ran into a group of 2 people from another camp who heard the same thing that were also on their way. No one heard another sound on the way there. when we arrived at the "&amp;"lot we heard it from it was empty - no signs of anyone at all. We looked around and behind the camp but it was just dense forest in every direction. the campground was a circle so behind this lot there weren't any other camps, it had to be from here. Afte"&amp;"r a while of poking around confused and scared everyone went back to camp and tried to sleep. We talked to a park ranger driving around the campground next morning and asked if anything happened. They hadn't heard anything, and everyone at all the campsit"&amp;"es were accounted for. No one knew who it was, or if it was even a person.")</f>
        <v>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v>
      </c>
      <c r="D9" s="6" t="str">
        <f ca="1">IFERROR(__xludf.DUMMYFUNCTION("""COMPUTED_VALUE"""),"Unknown lake, chelan county?")</f>
        <v>Unknown lake, chelan county?</v>
      </c>
      <c r="E9" s="6"/>
      <c r="F9" s="6"/>
      <c r="G9" s="6"/>
      <c r="H9" s="6"/>
      <c r="I9" s="6"/>
      <c r="J9" s="6"/>
      <c r="K9" s="6"/>
      <c r="L9" s="6"/>
      <c r="M9" s="6"/>
      <c r="N9" s="6"/>
      <c r="O9" s="6"/>
      <c r="P9" s="6"/>
      <c r="Q9" s="6"/>
      <c r="R9" s="6"/>
      <c r="S9" s="6"/>
      <c r="T9" s="6"/>
      <c r="U9" s="6"/>
      <c r="V9" s="6"/>
      <c r="W9" s="6"/>
      <c r="X9" s="6"/>
      <c r="Y9" s="6"/>
      <c r="Z9" s="6"/>
    </row>
    <row r="10" spans="1:26" ht="15.75" customHeight="1" x14ac:dyDescent="0.15">
      <c r="A10" s="7">
        <f ca="1">IFERROR(__xludf.DUMMYFUNCTION("""COMPUTED_VALUE"""),46027.4765460879)</f>
        <v>46027.476546087899</v>
      </c>
      <c r="B10" s="6" t="str">
        <f ca="1">IFERROR(__xludf.DUMMYFUNCTION("""COMPUTED_VALUE"""),"CASE-51740")</f>
        <v>CASE-51740</v>
      </c>
      <c r="C10" s="6" t="str">
        <f ca="1">IFERROR(__xludf.DUMMYFUNCTION("""COMPUTED_VALUE"""),"I was walking through the park on my way home around 3pm. Suddenly all traffic sounds stopped and I could only hear a low hum coming from under a bridge. I stopped to look at where the noise was coming from for a moment and as I did, I became incredibly n"&amp;"auseated. After about 30 seconds, a group of crows cawed loudly and flew out in my direction and all the noise of the city unpaused itself. My watch said it was now 4:23pm. ")</f>
        <v xml:space="preserve">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v>
      </c>
      <c r="D10" s="6" t="str">
        <f ca="1">IFERROR(__xludf.DUMMYFUNCTION("""COMPUTED_VALUE"""),"Downtown Seattle, Freeway Park")</f>
        <v>Downtown Seattle, Freeway Park</v>
      </c>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6"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6"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6"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6"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6"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6"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6"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6"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6"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6"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6"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6"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6"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6"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6"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6"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6"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6"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6"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6"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6"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6"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6"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6"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6"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6"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6"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6"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6"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6"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6"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6"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6"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6"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6"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6"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6"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6"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6"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6"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6"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6"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6"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6"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6"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6"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6"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6"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6"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6"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6"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6"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6"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6"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6"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6"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6"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6"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6"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6"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6"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6"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6"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6"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6"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6"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6"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6"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6"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6"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6"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6"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6"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6"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6"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6"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6"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6"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6"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6"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6"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6"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6"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6"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6"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6"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6"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6"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6"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6"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6"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6"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6"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6"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6"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6"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6"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6"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6"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6"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6"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6"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6"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6"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6"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6"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6"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6"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6"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6"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6"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6"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6"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6"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6"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6"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6"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6"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6"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6"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6"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6"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6"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6"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6"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6"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6"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6"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6"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6"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6"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6"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6"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6"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6"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6"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6"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6"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6"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6"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6"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6"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6"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6"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6"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6"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6"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6"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6"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6"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6"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6"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6"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6"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6"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6"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6"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6"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6"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6"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6"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6"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6"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6"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6"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6"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6"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6"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6"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6"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6"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6"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6"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6"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6"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6"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6"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6"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6"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6"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6"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6"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6"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6"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6"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6"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6"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6"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6"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6"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6"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6"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6"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6"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6"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6"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6"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6"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6"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6"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6"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6"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6"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6"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6"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6"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6"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6"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6"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6"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6"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6"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6"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6"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6"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6"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6"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6"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6"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6"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6"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6"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6"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6"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6"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6"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6"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6"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6"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6"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6"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6"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6"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6"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6"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6"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6"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6"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6"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6"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6"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6"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6"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6"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6"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6"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6"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6"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6"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6"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6"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6"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6"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6"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6"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6"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6"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6"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6"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6"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6"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6"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6"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6"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6"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6"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6"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6"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6"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6"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6"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6"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6"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6"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6"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6"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6"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6"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6"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6"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6"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6"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6"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6"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6"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6"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6"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6"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6"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6"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6"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6"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6"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6"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6"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6"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6"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6"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6"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6"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6"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6"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6"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6"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6"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6"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6"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6"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6"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6"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6"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6"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6"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6"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6"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6"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6"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6"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6"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6"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6"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6"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6"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6"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6"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6"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6"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6"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6"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6"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6"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6"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6"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6"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6"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6"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6"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6"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6"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6"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6"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6"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6"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6"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6"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6"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6"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6"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6"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6"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6"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6"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6"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6"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6"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6"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6"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6"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6"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6"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6"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6"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6"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6"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6"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6"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6"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6"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6"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6"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6"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6"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6"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6"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6"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6"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6"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6"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6"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6"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6"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6"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6"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6"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6"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6"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6"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6"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6"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6"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6"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6"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6"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6"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6"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6"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6"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6"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6"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6"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6"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6"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6"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6"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6"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6"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6"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6"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6"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6"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6"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6"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6"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6"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6"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6"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6"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6"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6"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6"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6"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6"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6"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6"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6"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6"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6"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6"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6"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6"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6"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6"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6"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6"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6"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6"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6"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6"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6"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6"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6"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6"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6"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6"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6"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6"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6"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6"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6"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6"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6"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6"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6"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6"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6"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6"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6"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6"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6"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6"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6"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6"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6"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6"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6"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6"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6"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6"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6"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6"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6"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6"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6"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6"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6"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6"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6"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6"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6"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6"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6"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6"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6"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6"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6"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6"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6"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6"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6"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6"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6"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6"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6"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6"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6"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6"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6"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6"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6"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6"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6"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6"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6"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6"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6"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6"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6"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6"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6"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6"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6"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6"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6"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6"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6"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6"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6"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6"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6"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6"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6"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6"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6"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6"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6"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6"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6"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6"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6"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6"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6"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6"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6"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6"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6"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6"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6"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6"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6"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6"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6"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6"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6"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6"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6"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6"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6"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6"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6"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6"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6"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6"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6"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6"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6"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6"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6"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6"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6"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6"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6"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6"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6"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6"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6"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6"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6"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6"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6"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6"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6"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6"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6"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6"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6"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6"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6"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6"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6"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6"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6"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6"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6"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6"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6"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6"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6"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6"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6"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6"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6"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6"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6"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6"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6"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6"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6"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6"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6"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6"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6"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6"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6"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6"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6"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6"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6"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6"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6"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6"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6"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6"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6"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6"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6"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6"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6"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6"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6"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6"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6"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6"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6"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6"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6"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6"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6"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6"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6"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6"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6"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6"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6"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6"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6"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6"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6"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6"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6"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6"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6"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6"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6"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6"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6"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6"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6"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6"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6"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6"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6"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6"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6"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6"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6"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6"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6"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6"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6"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6"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6"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6"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6"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6"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6"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6"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6"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6"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6"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6"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6"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6"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6"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6"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6"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6"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6"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6"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6"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6"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6"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6"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6"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6"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6"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6"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6"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6"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6"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6"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6"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6"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6"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6"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6"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6"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6"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6"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6"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6"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6"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6"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6"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6"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6"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6"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6"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6"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6"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6"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6"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6"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6"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6"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6"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6"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6"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6"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6"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6"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6"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6"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6"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6"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6"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6"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6"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6"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6"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6"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6"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6"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6"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6"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6"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6"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6"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6"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6"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6"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6"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6"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6"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6"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6"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6"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6"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6"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6"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6"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6"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6"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6"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6"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6"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6"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6"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6"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6"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6"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6"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6"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6"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6"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6"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6"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6"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6"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6"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6"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6"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6"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6"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6"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6"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6"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6"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6"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6"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6"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6"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6"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6"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6"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6"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6"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6"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6"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6"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6"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6"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6"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6"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6"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6"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6"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6"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6"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6"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6"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6"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6"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6"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6"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6"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6"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6"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6"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6"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6"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6"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6"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6"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6"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6"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6"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6"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6"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6"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6"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6"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6"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6"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6"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6"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6"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6"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6"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6"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6"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6"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6"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6"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6"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6"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6"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6"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6"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6"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6"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6"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6"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6"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6"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6"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6"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6"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6"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6"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6"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6"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6"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6"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6"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6"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6"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6"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6"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6"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6"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6"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6"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6"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6"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6"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6"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6"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6"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6"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6"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6"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6"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6"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6"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6"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6"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6"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6"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6"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6"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6"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6"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6"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6"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6"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6"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6"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6"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6"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6"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6"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6"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6"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6"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6"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6"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6"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6"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6"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6"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6"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6"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6"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6"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6"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6"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6"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6"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6"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6"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6"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6"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6"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6"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6"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6"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6"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6"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6"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6"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6"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6"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6"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6"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6"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6"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6"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6"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6"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6"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6"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6"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6"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6"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6"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6"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6"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6"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6"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6"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6"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6"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6"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6"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6"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6"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6"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6"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6"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6"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6"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6"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6"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6"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6"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6"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PUBLIC_VIEW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Arthur E. Warmoth</cp:lastModifiedBy>
  <dcterms:modified xsi:type="dcterms:W3CDTF">2026-01-12T05:05:29Z</dcterms:modified>
</cp:coreProperties>
</file>