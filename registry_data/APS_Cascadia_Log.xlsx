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visible" name="PUBLIC_VIEW" sheetId="2" r:id="rId5"/>
  </sheets>
  <definedNames/>
  <calcPr/>
</workbook>
</file>

<file path=xl/sharedStrings.xml><?xml version="1.0" encoding="utf-8"?>
<sst xmlns="http://schemas.openxmlformats.org/spreadsheetml/2006/main" count="90" uniqueCount="81">
  <si>
    <t>timestamp</t>
  </si>
  <si>
    <t>log_id</t>
  </si>
  <si>
    <t>age_group</t>
  </si>
  <si>
    <t>gender</t>
  </si>
  <si>
    <t>location_state</t>
  </si>
  <si>
    <t>cultural_bg</t>
  </si>
  <si>
    <t>occupation</t>
  </si>
  <si>
    <t>worldview</t>
  </si>
  <si>
    <t>med_digital</t>
  </si>
  <si>
    <t>med_trad</t>
  </si>
  <si>
    <t>med_sim</t>
  </si>
  <si>
    <t>med_scifi</t>
  </si>
  <si>
    <t>med_naive</t>
  </si>
  <si>
    <t>witness_status</t>
  </si>
  <si>
    <t>phenom_silence</t>
  </si>
  <si>
    <t>phenom_hum</t>
  </si>
  <si>
    <t>phenom_time</t>
  </si>
  <si>
    <t>phenom_nausea</t>
  </si>
  <si>
    <t>phenom_paralysis</t>
  </si>
  <si>
    <t>phenom_tech</t>
  </si>
  <si>
    <t>phenom_ozone</t>
  </si>
  <si>
    <t>phenom_fear</t>
  </si>
  <si>
    <t>narrative</t>
  </si>
  <si>
    <t>test_method</t>
  </si>
  <si>
    <t>cons_state</t>
  </si>
  <si>
    <t>soma_paralysis</t>
  </si>
  <si>
    <t>soma_pressure</t>
  </si>
  <si>
    <t>soma_vibe</t>
  </si>
  <si>
    <t>soma_temp</t>
  </si>
  <si>
    <t>soma_nausea</t>
  </si>
  <si>
    <t>vis_type</t>
  </si>
  <si>
    <t>social_ctx</t>
  </si>
  <si>
    <t>prior_aware</t>
  </si>
  <si>
    <t>is_seeking</t>
  </si>
  <si>
    <t>subj_label</t>
  </si>
  <si>
    <t>attribution</t>
  </si>
  <si>
    <t>contact_info</t>
  </si>
  <si>
    <t>permission_level</t>
  </si>
  <si>
    <t>engagement_status</t>
  </si>
  <si>
    <t>res_id</t>
  </si>
  <si>
    <t>location_specific</t>
  </si>
  <si>
    <t>site_gps</t>
  </si>
  <si>
    <t>setting_type</t>
  </si>
  <si>
    <t>env_weather</t>
  </si>
  <si>
    <t>env_noise</t>
  </si>
  <si>
    <t>env_light</t>
  </si>
  <si>
    <t>env_tech_issues</t>
  </si>
  <si>
    <t>obs_demeanor</t>
  </si>
  <si>
    <t>obs_physical</t>
  </si>
  <si>
    <t>obs_delivery</t>
  </si>
  <si>
    <t>field_notes</t>
  </si>
  <si>
    <t>class_code</t>
  </si>
  <si>
    <t>narr_consist</t>
  </si>
  <si>
    <t>impact_score</t>
  </si>
  <si>
    <t>analyst_notes</t>
  </si>
  <si>
    <t>CASE-47528</t>
  </si>
  <si>
    <t>26-35</t>
  </si>
  <si>
    <t>Female</t>
  </si>
  <si>
    <t>WA</t>
  </si>
  <si>
    <t>Atheist</t>
  </si>
  <si>
    <t>Physical Therapy</t>
  </si>
  <si>
    <t>WITNESS_1</t>
  </si>
  <si>
    <t xml:space="preserve">March 24th, 2023 - I visited The Brick Saloon with a group of ~10 other women as part of a bachelorette weekend. It was in the evening around 7-8pm, one half of the building was the original bar area and the other was a stage with live band playing and dancefloor. One of the employees asked if we wanted to see the basement which was the former jail for the town, we agreed and they brought us downstairs. It was open to the entire floorplan of the main building, with a few gated cells on the nearest side and foundation pilings throughout the rest. It was pretty much a giant supply room, mostly cleaning and barware but more thrifty/antique items toward the rear of the building. The employee mentioned hearing laughter sometimes when he was downstairs alone, I was a little curious so myself and another girl went further back away from the rest of the group to explore.
She and I split up towards the back of the large room. I turned a corner around a foundation footing and saw what looked like a rectangular mirror leaning against the wall to my right. It was about 6x3 ft similar to a dressing room door mirror. As I walked forward I turned towards it to see my reflection, but it only showed the wall opposite me. I was a little panicked and surprised, so I called for my friend who had followed me away from the group. When she stepped in front of it she also did not appear. We waved our arms, changed angles, nothing. Finally, I reached out to touch it and felt nothing but air. It was an opening in the foundation footing that looked like a mirror image of the opposite side, and something about it gave the appearance of a tall narrow mirror leaning against a wall somehow.
Since it was with a bachelorette group at a bar, I feel that I should add that it was our first stop of the night on a Friday evening. I had 2 light beers as a quick "pregame" at the rental house after arriving from Seattle, before our drive from Suncadia (Cle Elum) to Roslyn. I also VERY regularly smoke and vape cannabis so that was involved as well. None of this is out of the ordinary for me by any means (basically any given Tuesday) and I am very confident in saying that it had little to no effect on my experience. Especially given that it was a shared experience, and had been my only paranormal experience at the time. </t>
  </si>
  <si>
    <t>Other than referring to it as my "phantom mirror" experience, I really don't have any solid theories. The building itself was established in 1889 and is said to be Washington's oldest continuously operating bar (as per their website). Some sources mention a tunnel in the basement used to move alcohol during Prohibition. Only one of the cells are original, and a couple others were added to film "The Runner Stumbles" in 1979. The bar was also featured in the show Northern Exposure. Roslyn was historically a coal mining and logging town, so the jail in the basement likely saw quite a few people in its life. All that to say, the building itself is notable for many reasons but not for any that I could use to explain a "phantom mirror".</t>
  </si>
  <si>
    <t>katieb.50@gmail.com</t>
  </si>
  <si>
    <t>PUBLISH_ANON</t>
  </si>
  <si>
    <t>PENDING</t>
  </si>
  <si>
    <t>The Brick Saloon in Roslyn WA, basement</t>
  </si>
  <si>
    <t>CASE-75731</t>
  </si>
  <si>
    <t>Materialist athiest</t>
  </si>
  <si>
    <t>Chemistry</t>
  </si>
  <si>
    <t>ALONE</t>
  </si>
  <si>
    <t>I was driving home late at night along a very familiar route. A section of this route "repeated" several minutes after I'd already driven through. The total drive took the same amount of time as usual, but my car displays "trip information" on the dash and the distance driven was about 5 miles too far.</t>
  </si>
  <si>
    <t>Sometimes when driving a route you drive all the time, you kinda zone out and don't really form memories, so I figured I misremembered. Also, it was dark and I was a little tired, which I considered as contributing factors. Maybe I even made a wrong turn and was lucky enough to get back on it and not realize.</t>
  </si>
  <si>
    <t>pugetdrowned67@gmail.com</t>
  </si>
  <si>
    <t>CASE-96915</t>
  </si>
  <si>
    <t>18-25</t>
  </si>
  <si>
    <t>YES</t>
  </si>
  <si>
    <t xml:space="preserve">Time stopped but music blared. When the song ended and the next began, time resumed. Inbetween was chaos and the other side was normality yet again as if nothing at all had happened.  </t>
  </si>
  <si>
    <t xml:space="preserve">I caused it? Who knows. This is pointless. </t>
  </si>
  <si>
    <t>Seattle-ish</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</si>
</sst>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2">
    <font>
      <sz val="10.0"/>
      <color rgb="FF000000"/>
      <name val="Arial"/>
      <scheme val="minor"/>
    </font>
    <font>
      <color theme="1"/>
      <name val="Arial"/>
      <scheme val="minor"/>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0" fontId="1" numFmtId="0" xfId="0" applyAlignment="1" applyBorder="1" applyFont="1">
      <alignment readingOrder="0" vertical="top"/>
    </xf>
    <xf borderId="0" fillId="0" fontId="1" numFmtId="164" xfId="0" applyAlignment="1" applyFont="1" applyNumberFormat="1">
      <alignment readingOrder="0" shrinkToFit="0" vertical="top" wrapText="1"/>
    </xf>
    <xf borderId="0" fillId="0" fontId="1" numFmtId="0" xfId="0" applyAlignment="1" applyFont="1">
      <alignment readingOrder="0" shrinkToFit="0" vertical="top" wrapText="1"/>
    </xf>
    <xf borderId="0" fillId="0" fontId="1" numFmtId="0" xfId="0" applyAlignment="1" applyFont="1">
      <alignment shrinkToFit="0" vertical="top" wrapText="1"/>
    </xf>
    <xf borderId="0" fillId="0" fontId="1" numFmtId="14" xfId="0" applyAlignment="1" applyFont="1" applyNumberFormat="1">
      <alignment readingOrder="0" shrinkToFit="0" vertical="top" wrapText="1"/>
    </xf>
    <xf borderId="0" fillId="0" fontId="1" numFmtId="0" xfId="0" applyFont="1"/>
    <xf borderId="0" fillId="0" fontId="1" numFmtId="1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3" max="23" width="86.0"/>
    <col customWidth="1" min="36" max="36" width="41.5"/>
    <col customWidth="1" min="38" max="38" width="15.13"/>
    <col customWidth="1" min="39" max="39" width="16.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row>
    <row r="2">
      <c r="A2" s="2">
        <v>46026.02750059028</v>
      </c>
      <c r="B2" s="3" t="s">
        <v>55</v>
      </c>
      <c r="C2" s="3" t="s">
        <v>56</v>
      </c>
      <c r="D2" s="3" t="s">
        <v>57</v>
      </c>
      <c r="E2" s="3" t="s">
        <v>58</v>
      </c>
      <c r="F2" s="3" t="s">
        <v>59</v>
      </c>
      <c r="G2" s="3" t="s">
        <v>60</v>
      </c>
      <c r="H2" s="3"/>
      <c r="I2" s="3"/>
      <c r="J2" s="3"/>
      <c r="K2" s="3"/>
      <c r="L2" s="3"/>
      <c r="M2" s="3"/>
      <c r="N2" s="3" t="s">
        <v>61</v>
      </c>
      <c r="O2" s="3"/>
      <c r="P2" s="3"/>
      <c r="Q2" s="3"/>
      <c r="R2" s="3"/>
      <c r="S2" s="3"/>
      <c r="T2" s="3"/>
      <c r="U2" s="3"/>
      <c r="V2" s="3"/>
      <c r="W2" s="3" t="s">
        <v>62</v>
      </c>
      <c r="X2" s="3"/>
      <c r="Y2" s="3"/>
      <c r="Z2" s="3"/>
      <c r="AA2" s="3"/>
      <c r="AB2" s="3"/>
      <c r="AC2" s="3"/>
      <c r="AD2" s="4"/>
      <c r="AE2" s="4"/>
      <c r="AF2" s="4"/>
      <c r="AG2" s="4"/>
      <c r="AH2" s="4"/>
      <c r="AI2" s="4"/>
      <c r="AJ2" s="3" t="s">
        <v>63</v>
      </c>
      <c r="AK2" s="3" t="s">
        <v>64</v>
      </c>
      <c r="AL2" s="3" t="s">
        <v>65</v>
      </c>
      <c r="AM2" s="3" t="s">
        <v>66</v>
      </c>
      <c r="AN2" s="3"/>
      <c r="AO2" s="3" t="s">
        <v>67</v>
      </c>
      <c r="AP2" s="4"/>
      <c r="AQ2" s="4"/>
      <c r="AR2" s="4"/>
      <c r="AS2" s="4"/>
      <c r="AT2" s="4"/>
      <c r="AU2" s="4"/>
      <c r="AV2" s="4"/>
      <c r="AW2" s="4"/>
      <c r="AX2" s="4"/>
      <c r="AY2" s="4"/>
      <c r="AZ2" s="4"/>
      <c r="BA2" s="4"/>
      <c r="BB2" s="4"/>
      <c r="BC2" s="4"/>
    </row>
    <row r="3">
      <c r="A3" s="5">
        <v>46026.1995316088</v>
      </c>
      <c r="B3" s="3" t="s">
        <v>68</v>
      </c>
      <c r="C3" s="3" t="s">
        <v>56</v>
      </c>
      <c r="D3" s="3"/>
      <c r="E3" s="3" t="s">
        <v>58</v>
      </c>
      <c r="F3" s="3" t="s">
        <v>69</v>
      </c>
      <c r="G3" s="3" t="s">
        <v>70</v>
      </c>
      <c r="H3" s="3"/>
      <c r="I3" s="3"/>
      <c r="J3" s="3"/>
      <c r="K3" s="3"/>
      <c r="L3" s="3"/>
      <c r="M3" s="4"/>
      <c r="N3" s="3" t="s">
        <v>71</v>
      </c>
      <c r="O3" s="4"/>
      <c r="P3" s="3"/>
      <c r="Q3" s="3"/>
      <c r="R3" s="3"/>
      <c r="S3" s="3"/>
      <c r="T3" s="3"/>
      <c r="U3" s="3"/>
      <c r="V3" s="3"/>
      <c r="W3" s="3" t="s">
        <v>72</v>
      </c>
      <c r="X3" s="3"/>
      <c r="Y3" s="3"/>
      <c r="Z3" s="3"/>
      <c r="AA3" s="3"/>
      <c r="AB3" s="3"/>
      <c r="AC3" s="3"/>
      <c r="AD3" s="4"/>
      <c r="AE3" s="4"/>
      <c r="AF3" s="4"/>
      <c r="AG3" s="4"/>
      <c r="AH3" s="4"/>
      <c r="AI3" s="4"/>
      <c r="AJ3" s="3" t="s">
        <v>73</v>
      </c>
      <c r="AK3" s="3" t="s">
        <v>74</v>
      </c>
      <c r="AL3" s="3" t="s">
        <v>65</v>
      </c>
      <c r="AM3" s="3" t="s">
        <v>66</v>
      </c>
      <c r="AN3" s="4"/>
      <c r="AO3" s="4"/>
      <c r="AP3" s="4"/>
      <c r="AQ3" s="4"/>
      <c r="AR3" s="4"/>
      <c r="AS3" s="4"/>
      <c r="AT3" s="4"/>
      <c r="AU3" s="4"/>
      <c r="AV3" s="4"/>
      <c r="AW3" s="4"/>
      <c r="AX3" s="4"/>
      <c r="AY3" s="4"/>
      <c r="AZ3" s="4"/>
      <c r="BA3" s="4"/>
      <c r="BB3" s="4"/>
      <c r="BC3" s="4"/>
    </row>
    <row r="4">
      <c r="A4" s="5">
        <v>46026.22720988426</v>
      </c>
      <c r="B4" s="3" t="s">
        <v>75</v>
      </c>
      <c r="C4" s="3" t="s">
        <v>76</v>
      </c>
      <c r="D4" s="4"/>
      <c r="E4" s="3" t="s">
        <v>58</v>
      </c>
      <c r="F4" s="4"/>
      <c r="G4" s="4"/>
      <c r="H4" s="4"/>
      <c r="I4" s="4"/>
      <c r="J4" s="4"/>
      <c r="K4" s="4"/>
      <c r="L4" s="4"/>
      <c r="M4" s="4"/>
      <c r="N4" s="3" t="s">
        <v>71</v>
      </c>
      <c r="O4" s="4"/>
      <c r="P4" s="3" t="s">
        <v>77</v>
      </c>
      <c r="Q4" s="3" t="s">
        <v>77</v>
      </c>
      <c r="R4" s="4"/>
      <c r="S4" s="4"/>
      <c r="T4" s="4"/>
      <c r="U4" s="4"/>
      <c r="V4" s="4"/>
      <c r="W4" s="3" t="s">
        <v>78</v>
      </c>
      <c r="X4" s="4"/>
      <c r="Y4" s="4"/>
      <c r="Z4" s="4"/>
      <c r="AA4" s="4"/>
      <c r="AB4" s="4"/>
      <c r="AC4" s="4"/>
      <c r="AD4" s="4"/>
      <c r="AE4" s="4"/>
      <c r="AF4" s="4"/>
      <c r="AG4" s="4"/>
      <c r="AH4" s="4"/>
      <c r="AI4" s="4"/>
      <c r="AJ4" s="3" t="s">
        <v>79</v>
      </c>
      <c r="AK4" s="4"/>
      <c r="AL4" s="3" t="s">
        <v>65</v>
      </c>
      <c r="AM4" s="3" t="s">
        <v>66</v>
      </c>
      <c r="AN4" s="4"/>
      <c r="AO4" s="3" t="s">
        <v>80</v>
      </c>
      <c r="AP4" s="4"/>
      <c r="AQ4" s="4"/>
      <c r="AR4" s="4"/>
      <c r="AS4" s="4"/>
      <c r="AT4" s="4"/>
      <c r="AU4" s="4"/>
      <c r="AV4" s="4"/>
      <c r="AW4" s="4"/>
      <c r="AX4" s="4"/>
      <c r="AY4" s="4"/>
      <c r="AZ4" s="4"/>
      <c r="BA4" s="4"/>
      <c r="BB4" s="4"/>
      <c r="BC4" s="4"/>
    </row>
    <row r="5">
      <c r="A5" s="4"/>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row>
    <row r="6">
      <c r="A6" s="4"/>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row>
    <row r="7">
      <c r="A7" s="4"/>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row>
    <row r="8">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row>
    <row r="9">
      <c r="A9" s="4"/>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row>
    <row r="10">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row>
    <row r="11">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row>
    <row r="13">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row>
    <row r="15">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row>
    <row r="16">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row>
    <row r="17">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row>
    <row r="18">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row>
    <row r="19">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row>
    <row r="20">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row>
    <row r="21">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row>
    <row r="22">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row>
    <row r="23">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row>
    <row r="24">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row>
    <row r="25">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row>
    <row r="26">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row>
    <row r="27">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row>
    <row r="28">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row>
    <row r="29">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row>
    <row r="30">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row>
    <row r="3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row>
    <row r="32">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row>
    <row r="34">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4"/>
      <c r="AY60" s="4"/>
      <c r="AZ60" s="4"/>
      <c r="BA60" s="4"/>
      <c r="BB60" s="4"/>
      <c r="BC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c r="BA61" s="4"/>
      <c r="BB61" s="4"/>
      <c r="BC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4"/>
      <c r="AY62" s="4"/>
      <c r="AZ62" s="4"/>
      <c r="BA62" s="4"/>
      <c r="BB62" s="4"/>
      <c r="BC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c r="AY63" s="4"/>
      <c r="AZ63" s="4"/>
      <c r="BA63" s="4"/>
      <c r="BB63" s="4"/>
      <c r="BC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4"/>
      <c r="AY73" s="4"/>
      <c r="AZ73" s="4"/>
      <c r="BA73" s="4"/>
      <c r="BB73" s="4"/>
      <c r="BC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4"/>
      <c r="AY75" s="4"/>
      <c r="AZ75" s="4"/>
      <c r="BA75" s="4"/>
      <c r="BB75" s="4"/>
      <c r="BC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4"/>
      <c r="AY76" s="4"/>
      <c r="AZ76" s="4"/>
      <c r="BA76" s="4"/>
      <c r="BB76" s="4"/>
      <c r="BC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4"/>
      <c r="AY91" s="4"/>
      <c r="AZ91" s="4"/>
      <c r="BA91" s="4"/>
      <c r="BB91" s="4"/>
      <c r="BC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4"/>
      <c r="AY92" s="4"/>
      <c r="AZ92" s="4"/>
      <c r="BA92" s="4"/>
      <c r="BB92" s="4"/>
      <c r="BC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4"/>
      <c r="AY93" s="4"/>
      <c r="AZ93" s="4"/>
      <c r="BA93" s="4"/>
      <c r="BB93" s="4"/>
      <c r="BC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4"/>
      <c r="AY95" s="4"/>
      <c r="AZ95" s="4"/>
      <c r="BA95" s="4"/>
      <c r="BB95" s="4"/>
      <c r="BC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4"/>
      <c r="AY96" s="4"/>
      <c r="AZ96" s="4"/>
      <c r="BA96" s="4"/>
      <c r="BB96" s="4"/>
      <c r="BC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4"/>
      <c r="AY97" s="4"/>
      <c r="AZ97" s="4"/>
      <c r="BA97" s="4"/>
      <c r="BB97" s="4"/>
      <c r="BC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4"/>
      <c r="AY98" s="4"/>
      <c r="AZ98" s="4"/>
      <c r="BA98" s="4"/>
      <c r="BB98" s="4"/>
      <c r="BC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4"/>
      <c r="AY99" s="4"/>
      <c r="AZ99" s="4"/>
      <c r="BA99" s="4"/>
      <c r="BB99" s="4"/>
      <c r="BC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4"/>
      <c r="AY100" s="4"/>
      <c r="AZ100" s="4"/>
      <c r="BA100" s="4"/>
      <c r="BB100" s="4"/>
      <c r="BC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4"/>
      <c r="AY101" s="4"/>
      <c r="AZ101" s="4"/>
      <c r="BA101" s="4"/>
      <c r="BB101" s="4"/>
      <c r="BC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4"/>
      <c r="AY102" s="4"/>
      <c r="AZ102" s="4"/>
      <c r="BA102" s="4"/>
      <c r="BB102" s="4"/>
      <c r="BC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4"/>
      <c r="AY103" s="4"/>
      <c r="AZ103" s="4"/>
      <c r="BA103" s="4"/>
      <c r="BB103" s="4"/>
      <c r="BC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4"/>
      <c r="AX104" s="4"/>
      <c r="AY104" s="4"/>
      <c r="AZ104" s="4"/>
      <c r="BA104" s="4"/>
      <c r="BB104" s="4"/>
      <c r="BC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4"/>
      <c r="AY105" s="4"/>
      <c r="AZ105" s="4"/>
      <c r="BA105" s="4"/>
      <c r="BB105" s="4"/>
      <c r="BC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4"/>
      <c r="AY106" s="4"/>
      <c r="AZ106" s="4"/>
      <c r="BA106" s="4"/>
      <c r="BB106" s="4"/>
      <c r="BC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4"/>
      <c r="AY107" s="4"/>
      <c r="AZ107" s="4"/>
      <c r="BA107" s="4"/>
      <c r="BB107" s="4"/>
      <c r="BC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4"/>
      <c r="AY108" s="4"/>
      <c r="AZ108" s="4"/>
      <c r="BA108" s="4"/>
      <c r="BB108" s="4"/>
      <c r="BC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4"/>
      <c r="AY109" s="4"/>
      <c r="AZ109" s="4"/>
      <c r="BA109" s="4"/>
      <c r="BB109" s="4"/>
      <c r="BC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4"/>
      <c r="AY110" s="4"/>
      <c r="AZ110" s="4"/>
      <c r="BA110" s="4"/>
      <c r="BB110" s="4"/>
      <c r="BC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4"/>
      <c r="AY111" s="4"/>
      <c r="AZ111" s="4"/>
      <c r="BA111" s="4"/>
      <c r="BB111" s="4"/>
      <c r="BC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4"/>
      <c r="AY112" s="4"/>
      <c r="AZ112" s="4"/>
      <c r="BA112" s="4"/>
      <c r="BB112" s="4"/>
      <c r="BC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4"/>
      <c r="AY113" s="4"/>
      <c r="AZ113" s="4"/>
      <c r="BA113" s="4"/>
      <c r="BB113" s="4"/>
      <c r="BC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4"/>
      <c r="AX114" s="4"/>
      <c r="AY114" s="4"/>
      <c r="AZ114" s="4"/>
      <c r="BA114" s="4"/>
      <c r="BB114" s="4"/>
      <c r="BC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4"/>
      <c r="AY115" s="4"/>
      <c r="AZ115" s="4"/>
      <c r="BA115" s="4"/>
      <c r="BB115" s="4"/>
      <c r="BC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4"/>
      <c r="AX116" s="4"/>
      <c r="AY116" s="4"/>
      <c r="AZ116" s="4"/>
      <c r="BA116" s="4"/>
      <c r="BB116" s="4"/>
      <c r="BC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4"/>
      <c r="AX117" s="4"/>
      <c r="AY117" s="4"/>
      <c r="AZ117" s="4"/>
      <c r="BA117" s="4"/>
      <c r="BB117" s="4"/>
      <c r="BC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c r="AV118" s="4"/>
      <c r="AW118" s="4"/>
      <c r="AX118" s="4"/>
      <c r="AY118" s="4"/>
      <c r="AZ118" s="4"/>
      <c r="BA118" s="4"/>
      <c r="BB118" s="4"/>
      <c r="BC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c r="AV119" s="4"/>
      <c r="AW119" s="4"/>
      <c r="AX119" s="4"/>
      <c r="AY119" s="4"/>
      <c r="AZ119" s="4"/>
      <c r="BA119" s="4"/>
      <c r="BB119" s="4"/>
      <c r="BC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c r="AV120" s="4"/>
      <c r="AW120" s="4"/>
      <c r="AX120" s="4"/>
      <c r="AY120" s="4"/>
      <c r="AZ120" s="4"/>
      <c r="BA120" s="4"/>
      <c r="BB120" s="4"/>
      <c r="BC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c r="AV121" s="4"/>
      <c r="AW121" s="4"/>
      <c r="AX121" s="4"/>
      <c r="AY121" s="4"/>
      <c r="AZ121" s="4"/>
      <c r="BA121" s="4"/>
      <c r="BB121" s="4"/>
      <c r="BC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c r="AV122" s="4"/>
      <c r="AW122" s="4"/>
      <c r="AX122" s="4"/>
      <c r="AY122" s="4"/>
      <c r="AZ122" s="4"/>
      <c r="BA122" s="4"/>
      <c r="BB122" s="4"/>
      <c r="BC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c r="AV123" s="4"/>
      <c r="AW123" s="4"/>
      <c r="AX123" s="4"/>
      <c r="AY123" s="4"/>
      <c r="AZ123" s="4"/>
      <c r="BA123" s="4"/>
      <c r="BB123" s="4"/>
      <c r="BC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c r="AV124" s="4"/>
      <c r="AW124" s="4"/>
      <c r="AX124" s="4"/>
      <c r="AY124" s="4"/>
      <c r="AZ124" s="4"/>
      <c r="BA124" s="4"/>
      <c r="BB124" s="4"/>
      <c r="BC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c r="AV125" s="4"/>
      <c r="AW125" s="4"/>
      <c r="AX125" s="4"/>
      <c r="AY125" s="4"/>
      <c r="AZ125" s="4"/>
      <c r="BA125" s="4"/>
      <c r="BB125" s="4"/>
      <c r="BC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c r="AV126" s="4"/>
      <c r="AW126" s="4"/>
      <c r="AX126" s="4"/>
      <c r="AY126" s="4"/>
      <c r="AZ126" s="4"/>
      <c r="BA126" s="4"/>
      <c r="BB126" s="4"/>
      <c r="BC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4"/>
      <c r="AX127" s="4"/>
      <c r="AY127" s="4"/>
      <c r="AZ127" s="4"/>
      <c r="BA127" s="4"/>
      <c r="BB127" s="4"/>
      <c r="BC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c r="AV128" s="4"/>
      <c r="AW128" s="4"/>
      <c r="AX128" s="4"/>
      <c r="AY128" s="4"/>
      <c r="AZ128" s="4"/>
      <c r="BA128" s="4"/>
      <c r="BB128" s="4"/>
      <c r="BC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c r="AV129" s="4"/>
      <c r="AW129" s="4"/>
      <c r="AX129" s="4"/>
      <c r="AY129" s="4"/>
      <c r="AZ129" s="4"/>
      <c r="BA129" s="4"/>
      <c r="BB129" s="4"/>
      <c r="BC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c r="AU130" s="4"/>
      <c r="AV130" s="4"/>
      <c r="AW130" s="4"/>
      <c r="AX130" s="4"/>
      <c r="AY130" s="4"/>
      <c r="AZ130" s="4"/>
      <c r="BA130" s="4"/>
      <c r="BB130" s="4"/>
      <c r="BC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c r="AU131" s="4"/>
      <c r="AV131" s="4"/>
      <c r="AW131" s="4"/>
      <c r="AX131" s="4"/>
      <c r="AY131" s="4"/>
      <c r="AZ131" s="4"/>
      <c r="BA131" s="4"/>
      <c r="BB131" s="4"/>
      <c r="BC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c r="AU132" s="4"/>
      <c r="AV132" s="4"/>
      <c r="AW132" s="4"/>
      <c r="AX132" s="4"/>
      <c r="AY132" s="4"/>
      <c r="AZ132" s="4"/>
      <c r="BA132" s="4"/>
      <c r="BB132" s="4"/>
      <c r="BC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c r="AU133" s="4"/>
      <c r="AV133" s="4"/>
      <c r="AW133" s="4"/>
      <c r="AX133" s="4"/>
      <c r="AY133" s="4"/>
      <c r="AZ133" s="4"/>
      <c r="BA133" s="4"/>
      <c r="BB133" s="4"/>
      <c r="BC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c r="AV134" s="4"/>
      <c r="AW134" s="4"/>
      <c r="AX134" s="4"/>
      <c r="AY134" s="4"/>
      <c r="AZ134" s="4"/>
      <c r="BA134" s="4"/>
      <c r="BB134" s="4"/>
      <c r="BC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c r="AU135" s="4"/>
      <c r="AV135" s="4"/>
      <c r="AW135" s="4"/>
      <c r="AX135" s="4"/>
      <c r="AY135" s="4"/>
      <c r="AZ135" s="4"/>
      <c r="BA135" s="4"/>
      <c r="BB135" s="4"/>
      <c r="BC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c r="AU136" s="4"/>
      <c r="AV136" s="4"/>
      <c r="AW136" s="4"/>
      <c r="AX136" s="4"/>
      <c r="AY136" s="4"/>
      <c r="AZ136" s="4"/>
      <c r="BA136" s="4"/>
      <c r="BB136" s="4"/>
      <c r="BC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c r="AU137" s="4"/>
      <c r="AV137" s="4"/>
      <c r="AW137" s="4"/>
      <c r="AX137" s="4"/>
      <c r="AY137" s="4"/>
      <c r="AZ137" s="4"/>
      <c r="BA137" s="4"/>
      <c r="BB137" s="4"/>
      <c r="BC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c r="AU138" s="4"/>
      <c r="AV138" s="4"/>
      <c r="AW138" s="4"/>
      <c r="AX138" s="4"/>
      <c r="AY138" s="4"/>
      <c r="AZ138" s="4"/>
      <c r="BA138" s="4"/>
      <c r="BB138" s="4"/>
      <c r="BC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c r="AU139" s="4"/>
      <c r="AV139" s="4"/>
      <c r="AW139" s="4"/>
      <c r="AX139" s="4"/>
      <c r="AY139" s="4"/>
      <c r="AZ139" s="4"/>
      <c r="BA139" s="4"/>
      <c r="BB139" s="4"/>
      <c r="BC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4"/>
      <c r="AX140" s="4"/>
      <c r="AY140" s="4"/>
      <c r="AZ140" s="4"/>
      <c r="BA140" s="4"/>
      <c r="BB140" s="4"/>
      <c r="BC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c r="AU141" s="4"/>
      <c r="AV141" s="4"/>
      <c r="AW141" s="4"/>
      <c r="AX141" s="4"/>
      <c r="AY141" s="4"/>
      <c r="AZ141" s="4"/>
      <c r="BA141" s="4"/>
      <c r="BB141" s="4"/>
      <c r="BC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c r="AU142" s="4"/>
      <c r="AV142" s="4"/>
      <c r="AW142" s="4"/>
      <c r="AX142" s="4"/>
      <c r="AY142" s="4"/>
      <c r="AZ142" s="4"/>
      <c r="BA142" s="4"/>
      <c r="BB142" s="4"/>
      <c r="BC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c r="AU143" s="4"/>
      <c r="AV143" s="4"/>
      <c r="AW143" s="4"/>
      <c r="AX143" s="4"/>
      <c r="AY143" s="4"/>
      <c r="AZ143" s="4"/>
      <c r="BA143" s="4"/>
      <c r="BB143" s="4"/>
      <c r="BC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4"/>
      <c r="AX144" s="4"/>
      <c r="AY144" s="4"/>
      <c r="AZ144" s="4"/>
      <c r="BA144" s="4"/>
      <c r="BB144" s="4"/>
      <c r="BC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4"/>
      <c r="AX145" s="4"/>
      <c r="AY145" s="4"/>
      <c r="AZ145" s="4"/>
      <c r="BA145" s="4"/>
      <c r="BB145" s="4"/>
      <c r="BC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c r="AU146" s="4"/>
      <c r="AV146" s="4"/>
      <c r="AW146" s="4"/>
      <c r="AX146" s="4"/>
      <c r="AY146" s="4"/>
      <c r="AZ146" s="4"/>
      <c r="BA146" s="4"/>
      <c r="BB146" s="4"/>
      <c r="BC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c r="AU147" s="4"/>
      <c r="AV147" s="4"/>
      <c r="AW147" s="4"/>
      <c r="AX147" s="4"/>
      <c r="AY147" s="4"/>
      <c r="AZ147" s="4"/>
      <c r="BA147" s="4"/>
      <c r="BB147" s="4"/>
      <c r="BC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c r="AU148" s="4"/>
      <c r="AV148" s="4"/>
      <c r="AW148" s="4"/>
      <c r="AX148" s="4"/>
      <c r="AY148" s="4"/>
      <c r="AZ148" s="4"/>
      <c r="BA148" s="4"/>
      <c r="BB148" s="4"/>
      <c r="BC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4"/>
      <c r="AX149" s="4"/>
      <c r="AY149" s="4"/>
      <c r="AZ149" s="4"/>
      <c r="BA149" s="4"/>
      <c r="BB149" s="4"/>
      <c r="BC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c r="AU150" s="4"/>
      <c r="AV150" s="4"/>
      <c r="AW150" s="4"/>
      <c r="AX150" s="4"/>
      <c r="AY150" s="4"/>
      <c r="AZ150" s="4"/>
      <c r="BA150" s="4"/>
      <c r="BB150" s="4"/>
      <c r="BC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c r="AU151" s="4"/>
      <c r="AV151" s="4"/>
      <c r="AW151" s="4"/>
      <c r="AX151" s="4"/>
      <c r="AY151" s="4"/>
      <c r="AZ151" s="4"/>
      <c r="BA151" s="4"/>
      <c r="BB151" s="4"/>
      <c r="BC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c r="AU152" s="4"/>
      <c r="AV152" s="4"/>
      <c r="AW152" s="4"/>
      <c r="AX152" s="4"/>
      <c r="AY152" s="4"/>
      <c r="AZ152" s="4"/>
      <c r="BA152" s="4"/>
      <c r="BB152" s="4"/>
      <c r="BC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c r="AU153" s="4"/>
      <c r="AV153" s="4"/>
      <c r="AW153" s="4"/>
      <c r="AX153" s="4"/>
      <c r="AY153" s="4"/>
      <c r="AZ153" s="4"/>
      <c r="BA153" s="4"/>
      <c r="BB153" s="4"/>
      <c r="BC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c r="AU154" s="4"/>
      <c r="AV154" s="4"/>
      <c r="AW154" s="4"/>
      <c r="AX154" s="4"/>
      <c r="AY154" s="4"/>
      <c r="AZ154" s="4"/>
      <c r="BA154" s="4"/>
      <c r="BB154" s="4"/>
      <c r="BC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c r="AU155" s="4"/>
      <c r="AV155" s="4"/>
      <c r="AW155" s="4"/>
      <c r="AX155" s="4"/>
      <c r="AY155" s="4"/>
      <c r="AZ155" s="4"/>
      <c r="BA155" s="4"/>
      <c r="BB155" s="4"/>
      <c r="BC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c r="AV156" s="4"/>
      <c r="AW156" s="4"/>
      <c r="AX156" s="4"/>
      <c r="AY156" s="4"/>
      <c r="AZ156" s="4"/>
      <c r="BA156" s="4"/>
      <c r="BB156" s="4"/>
      <c r="BC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c r="AU157" s="4"/>
      <c r="AV157" s="4"/>
      <c r="AW157" s="4"/>
      <c r="AX157" s="4"/>
      <c r="AY157" s="4"/>
      <c r="AZ157" s="4"/>
      <c r="BA157" s="4"/>
      <c r="BB157" s="4"/>
      <c r="BC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c r="AU158" s="4"/>
      <c r="AV158" s="4"/>
      <c r="AW158" s="4"/>
      <c r="AX158" s="4"/>
      <c r="AY158" s="4"/>
      <c r="AZ158" s="4"/>
      <c r="BA158" s="4"/>
      <c r="BB158" s="4"/>
      <c r="BC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c r="AU159" s="4"/>
      <c r="AV159" s="4"/>
      <c r="AW159" s="4"/>
      <c r="AX159" s="4"/>
      <c r="AY159" s="4"/>
      <c r="AZ159" s="4"/>
      <c r="BA159" s="4"/>
      <c r="BB159" s="4"/>
      <c r="BC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c r="AU160" s="4"/>
      <c r="AV160" s="4"/>
      <c r="AW160" s="4"/>
      <c r="AX160" s="4"/>
      <c r="AY160" s="4"/>
      <c r="AZ160" s="4"/>
      <c r="BA160" s="4"/>
      <c r="BB160" s="4"/>
      <c r="BC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c r="AU161" s="4"/>
      <c r="AV161" s="4"/>
      <c r="AW161" s="4"/>
      <c r="AX161" s="4"/>
      <c r="AY161" s="4"/>
      <c r="AZ161" s="4"/>
      <c r="BA161" s="4"/>
      <c r="BB161" s="4"/>
      <c r="BC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c r="AU162" s="4"/>
      <c r="AV162" s="4"/>
      <c r="AW162" s="4"/>
      <c r="AX162" s="4"/>
      <c r="AY162" s="4"/>
      <c r="AZ162" s="4"/>
      <c r="BA162" s="4"/>
      <c r="BB162" s="4"/>
      <c r="BC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c r="AU163" s="4"/>
      <c r="AV163" s="4"/>
      <c r="AW163" s="4"/>
      <c r="AX163" s="4"/>
      <c r="AY163" s="4"/>
      <c r="AZ163" s="4"/>
      <c r="BA163" s="4"/>
      <c r="BB163" s="4"/>
      <c r="BC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c r="AU164" s="4"/>
      <c r="AV164" s="4"/>
      <c r="AW164" s="4"/>
      <c r="AX164" s="4"/>
      <c r="AY164" s="4"/>
      <c r="AZ164" s="4"/>
      <c r="BA164" s="4"/>
      <c r="BB164" s="4"/>
      <c r="BC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c r="AU165" s="4"/>
      <c r="AV165" s="4"/>
      <c r="AW165" s="4"/>
      <c r="AX165" s="4"/>
      <c r="AY165" s="4"/>
      <c r="AZ165" s="4"/>
      <c r="BA165" s="4"/>
      <c r="BB165" s="4"/>
      <c r="BC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c r="AU166" s="4"/>
      <c r="AV166" s="4"/>
      <c r="AW166" s="4"/>
      <c r="AX166" s="4"/>
      <c r="AY166" s="4"/>
      <c r="AZ166" s="4"/>
      <c r="BA166" s="4"/>
      <c r="BB166" s="4"/>
      <c r="BC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c r="AV167" s="4"/>
      <c r="AW167" s="4"/>
      <c r="AX167" s="4"/>
      <c r="AY167" s="4"/>
      <c r="AZ167" s="4"/>
      <c r="BA167" s="4"/>
      <c r="BB167" s="4"/>
      <c r="BC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4"/>
      <c r="AX168" s="4"/>
      <c r="AY168" s="4"/>
      <c r="AZ168" s="4"/>
      <c r="BA168" s="4"/>
      <c r="BB168" s="4"/>
      <c r="BC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c r="AV169" s="4"/>
      <c r="AW169" s="4"/>
      <c r="AX169" s="4"/>
      <c r="AY169" s="4"/>
      <c r="AZ169" s="4"/>
      <c r="BA169" s="4"/>
      <c r="BB169" s="4"/>
      <c r="BC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c r="AV170" s="4"/>
      <c r="AW170" s="4"/>
      <c r="AX170" s="4"/>
      <c r="AY170" s="4"/>
      <c r="AZ170" s="4"/>
      <c r="BA170" s="4"/>
      <c r="BB170" s="4"/>
      <c r="BC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c r="AV171" s="4"/>
      <c r="AW171" s="4"/>
      <c r="AX171" s="4"/>
      <c r="AY171" s="4"/>
      <c r="AZ171" s="4"/>
      <c r="BA171" s="4"/>
      <c r="BB171" s="4"/>
      <c r="BC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c r="AU172" s="4"/>
      <c r="AV172" s="4"/>
      <c r="AW172" s="4"/>
      <c r="AX172" s="4"/>
      <c r="AY172" s="4"/>
      <c r="AZ172" s="4"/>
      <c r="BA172" s="4"/>
      <c r="BB172" s="4"/>
      <c r="BC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c r="AU173" s="4"/>
      <c r="AV173" s="4"/>
      <c r="AW173" s="4"/>
      <c r="AX173" s="4"/>
      <c r="AY173" s="4"/>
      <c r="AZ173" s="4"/>
      <c r="BA173" s="4"/>
      <c r="BB173" s="4"/>
      <c r="BC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c r="AU174" s="4"/>
      <c r="AV174" s="4"/>
      <c r="AW174" s="4"/>
      <c r="AX174" s="4"/>
      <c r="AY174" s="4"/>
      <c r="AZ174" s="4"/>
      <c r="BA174" s="4"/>
      <c r="BB174" s="4"/>
      <c r="BC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c r="AU175" s="4"/>
      <c r="AV175" s="4"/>
      <c r="AW175" s="4"/>
      <c r="AX175" s="4"/>
      <c r="AY175" s="4"/>
      <c r="AZ175" s="4"/>
      <c r="BA175" s="4"/>
      <c r="BB175" s="4"/>
      <c r="BC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c r="AU176" s="4"/>
      <c r="AV176" s="4"/>
      <c r="AW176" s="4"/>
      <c r="AX176" s="4"/>
      <c r="AY176" s="4"/>
      <c r="AZ176" s="4"/>
      <c r="BA176" s="4"/>
      <c r="BB176" s="4"/>
      <c r="BC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4"/>
      <c r="AX177" s="4"/>
      <c r="AY177" s="4"/>
      <c r="AZ177" s="4"/>
      <c r="BA177" s="4"/>
      <c r="BB177" s="4"/>
      <c r="BC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c r="AU178" s="4"/>
      <c r="AV178" s="4"/>
      <c r="AW178" s="4"/>
      <c r="AX178" s="4"/>
      <c r="AY178" s="4"/>
      <c r="AZ178" s="4"/>
      <c r="BA178" s="4"/>
      <c r="BB178" s="4"/>
      <c r="BC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c r="AU179" s="4"/>
      <c r="AV179" s="4"/>
      <c r="AW179" s="4"/>
      <c r="AX179" s="4"/>
      <c r="AY179" s="4"/>
      <c r="AZ179" s="4"/>
      <c r="BA179" s="4"/>
      <c r="BB179" s="4"/>
      <c r="BC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c r="AU180" s="4"/>
      <c r="AV180" s="4"/>
      <c r="AW180" s="4"/>
      <c r="AX180" s="4"/>
      <c r="AY180" s="4"/>
      <c r="AZ180" s="4"/>
      <c r="BA180" s="4"/>
      <c r="BB180" s="4"/>
      <c r="BC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c r="AU181" s="4"/>
      <c r="AV181" s="4"/>
      <c r="AW181" s="4"/>
      <c r="AX181" s="4"/>
      <c r="AY181" s="4"/>
      <c r="AZ181" s="4"/>
      <c r="BA181" s="4"/>
      <c r="BB181" s="4"/>
      <c r="BC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c r="AU182" s="4"/>
      <c r="AV182" s="4"/>
      <c r="AW182" s="4"/>
      <c r="AX182" s="4"/>
      <c r="AY182" s="4"/>
      <c r="AZ182" s="4"/>
      <c r="BA182" s="4"/>
      <c r="BB182" s="4"/>
      <c r="BC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c r="AU183" s="4"/>
      <c r="AV183" s="4"/>
      <c r="AW183" s="4"/>
      <c r="AX183" s="4"/>
      <c r="AY183" s="4"/>
      <c r="AZ183" s="4"/>
      <c r="BA183" s="4"/>
      <c r="BB183" s="4"/>
      <c r="BC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c r="AV184" s="4"/>
      <c r="AW184" s="4"/>
      <c r="AX184" s="4"/>
      <c r="AY184" s="4"/>
      <c r="AZ184" s="4"/>
      <c r="BA184" s="4"/>
      <c r="BB184" s="4"/>
      <c r="BC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c r="AV185" s="4"/>
      <c r="AW185" s="4"/>
      <c r="AX185" s="4"/>
      <c r="AY185" s="4"/>
      <c r="AZ185" s="4"/>
      <c r="BA185" s="4"/>
      <c r="BB185" s="4"/>
      <c r="BC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4"/>
      <c r="AX186" s="4"/>
      <c r="AY186" s="4"/>
      <c r="AZ186" s="4"/>
      <c r="BA186" s="4"/>
      <c r="BB186" s="4"/>
      <c r="BC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c r="AV187" s="4"/>
      <c r="AW187" s="4"/>
      <c r="AX187" s="4"/>
      <c r="AY187" s="4"/>
      <c r="AZ187" s="4"/>
      <c r="BA187" s="4"/>
      <c r="BB187" s="4"/>
      <c r="BC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c r="AV188" s="4"/>
      <c r="AW188" s="4"/>
      <c r="AX188" s="4"/>
      <c r="AY188" s="4"/>
      <c r="AZ188" s="4"/>
      <c r="BA188" s="4"/>
      <c r="BB188" s="4"/>
      <c r="BC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c r="AV189" s="4"/>
      <c r="AW189" s="4"/>
      <c r="AX189" s="4"/>
      <c r="AY189" s="4"/>
      <c r="AZ189" s="4"/>
      <c r="BA189" s="4"/>
      <c r="BB189" s="4"/>
      <c r="BC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c r="AV190" s="4"/>
      <c r="AW190" s="4"/>
      <c r="AX190" s="4"/>
      <c r="AY190" s="4"/>
      <c r="AZ190" s="4"/>
      <c r="BA190" s="4"/>
      <c r="BB190" s="4"/>
      <c r="BC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c r="AV191" s="4"/>
      <c r="AW191" s="4"/>
      <c r="AX191" s="4"/>
      <c r="AY191" s="4"/>
      <c r="AZ191" s="4"/>
      <c r="BA191" s="4"/>
      <c r="BB191" s="4"/>
      <c r="BC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c r="AV192" s="4"/>
      <c r="AW192" s="4"/>
      <c r="AX192" s="4"/>
      <c r="AY192" s="4"/>
      <c r="AZ192" s="4"/>
      <c r="BA192" s="4"/>
      <c r="BB192" s="4"/>
      <c r="BC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c r="AV193" s="4"/>
      <c r="AW193" s="4"/>
      <c r="AX193" s="4"/>
      <c r="AY193" s="4"/>
      <c r="AZ193" s="4"/>
      <c r="BA193" s="4"/>
      <c r="BB193" s="4"/>
      <c r="BC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c r="AV194" s="4"/>
      <c r="AW194" s="4"/>
      <c r="AX194" s="4"/>
      <c r="AY194" s="4"/>
      <c r="AZ194" s="4"/>
      <c r="BA194" s="4"/>
      <c r="BB194" s="4"/>
      <c r="BC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c r="AV195" s="4"/>
      <c r="AW195" s="4"/>
      <c r="AX195" s="4"/>
      <c r="AY195" s="4"/>
      <c r="AZ195" s="4"/>
      <c r="BA195" s="4"/>
      <c r="BB195" s="4"/>
      <c r="BC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c r="AV196" s="4"/>
      <c r="AW196" s="4"/>
      <c r="AX196" s="4"/>
      <c r="AY196" s="4"/>
      <c r="AZ196" s="4"/>
      <c r="BA196" s="4"/>
      <c r="BB196" s="4"/>
      <c r="BC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c r="AV197" s="4"/>
      <c r="AW197" s="4"/>
      <c r="AX197" s="4"/>
      <c r="AY197" s="4"/>
      <c r="AZ197" s="4"/>
      <c r="BA197" s="4"/>
      <c r="BB197" s="4"/>
      <c r="BC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c r="AV198" s="4"/>
      <c r="AW198" s="4"/>
      <c r="AX198" s="4"/>
      <c r="AY198" s="4"/>
      <c r="AZ198" s="4"/>
      <c r="BA198" s="4"/>
      <c r="BB198" s="4"/>
      <c r="BC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c r="AV199" s="4"/>
      <c r="AW199" s="4"/>
      <c r="AX199" s="4"/>
      <c r="AY199" s="4"/>
      <c r="AZ199" s="4"/>
      <c r="BA199" s="4"/>
      <c r="BB199" s="4"/>
      <c r="BC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c r="AV200" s="4"/>
      <c r="AW200" s="4"/>
      <c r="AX200" s="4"/>
      <c r="AY200" s="4"/>
      <c r="AZ200" s="4"/>
      <c r="BA200" s="4"/>
      <c r="BB200" s="4"/>
      <c r="BC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c r="AV201" s="4"/>
      <c r="AW201" s="4"/>
      <c r="AX201" s="4"/>
      <c r="AY201" s="4"/>
      <c r="AZ201" s="4"/>
      <c r="BA201" s="4"/>
      <c r="BB201" s="4"/>
      <c r="BC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c r="AV202" s="4"/>
      <c r="AW202" s="4"/>
      <c r="AX202" s="4"/>
      <c r="AY202" s="4"/>
      <c r="AZ202" s="4"/>
      <c r="BA202" s="4"/>
      <c r="BB202" s="4"/>
      <c r="BC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c r="AV203" s="4"/>
      <c r="AW203" s="4"/>
      <c r="AX203" s="4"/>
      <c r="AY203" s="4"/>
      <c r="AZ203" s="4"/>
      <c r="BA203" s="4"/>
      <c r="BB203" s="4"/>
      <c r="BC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c r="AV204" s="4"/>
      <c r="AW204" s="4"/>
      <c r="AX204" s="4"/>
      <c r="AY204" s="4"/>
      <c r="AZ204" s="4"/>
      <c r="BA204" s="4"/>
      <c r="BB204" s="4"/>
      <c r="BC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c r="AV205" s="4"/>
      <c r="AW205" s="4"/>
      <c r="AX205" s="4"/>
      <c r="AY205" s="4"/>
      <c r="AZ205" s="4"/>
      <c r="BA205" s="4"/>
      <c r="BB205" s="4"/>
      <c r="BC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c r="AV206" s="4"/>
      <c r="AW206" s="4"/>
      <c r="AX206" s="4"/>
      <c r="AY206" s="4"/>
      <c r="AZ206" s="4"/>
      <c r="BA206" s="4"/>
      <c r="BB206" s="4"/>
      <c r="BC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4"/>
      <c r="AX207" s="4"/>
      <c r="AY207" s="4"/>
      <c r="AZ207" s="4"/>
      <c r="BA207" s="4"/>
      <c r="BB207" s="4"/>
      <c r="BC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4"/>
      <c r="AX208" s="4"/>
      <c r="AY208" s="4"/>
      <c r="AZ208" s="4"/>
      <c r="BA208" s="4"/>
      <c r="BB208" s="4"/>
      <c r="BC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4"/>
      <c r="AX209" s="4"/>
      <c r="AY209" s="4"/>
      <c r="AZ209" s="4"/>
      <c r="BA209" s="4"/>
      <c r="BB209" s="4"/>
      <c r="BC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4"/>
      <c r="AX210" s="4"/>
      <c r="AY210" s="4"/>
      <c r="AZ210" s="4"/>
      <c r="BA210" s="4"/>
      <c r="BB210" s="4"/>
      <c r="BC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4"/>
      <c r="AX211" s="4"/>
      <c r="AY211" s="4"/>
      <c r="AZ211" s="4"/>
      <c r="BA211" s="4"/>
      <c r="BB211" s="4"/>
      <c r="BC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4"/>
      <c r="AX212" s="4"/>
      <c r="AY212" s="4"/>
      <c r="AZ212" s="4"/>
      <c r="BA212" s="4"/>
      <c r="BB212" s="4"/>
      <c r="BC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4"/>
      <c r="AX213" s="4"/>
      <c r="AY213" s="4"/>
      <c r="AZ213" s="4"/>
      <c r="BA213" s="4"/>
      <c r="BB213" s="4"/>
      <c r="BC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4"/>
      <c r="AX214" s="4"/>
      <c r="AY214" s="4"/>
      <c r="AZ214" s="4"/>
      <c r="BA214" s="4"/>
      <c r="BB214" s="4"/>
      <c r="BC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4"/>
      <c r="AX215" s="4"/>
      <c r="AY215" s="4"/>
      <c r="AZ215" s="4"/>
      <c r="BA215" s="4"/>
      <c r="BB215" s="4"/>
      <c r="BC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4"/>
      <c r="AX216" s="4"/>
      <c r="AY216" s="4"/>
      <c r="AZ216" s="4"/>
      <c r="BA216" s="4"/>
      <c r="BB216" s="4"/>
      <c r="BC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4"/>
      <c r="AX217" s="4"/>
      <c r="AY217" s="4"/>
      <c r="AZ217" s="4"/>
      <c r="BA217" s="4"/>
      <c r="BB217" s="4"/>
      <c r="BC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4"/>
      <c r="AX218" s="4"/>
      <c r="AY218" s="4"/>
      <c r="AZ218" s="4"/>
      <c r="BA218" s="4"/>
      <c r="BB218" s="4"/>
      <c r="BC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4"/>
      <c r="AX219" s="4"/>
      <c r="AY219" s="4"/>
      <c r="AZ219" s="4"/>
      <c r="BA219" s="4"/>
      <c r="BB219" s="4"/>
      <c r="BC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4"/>
      <c r="AX220" s="4"/>
      <c r="AY220" s="4"/>
      <c r="AZ220" s="4"/>
      <c r="BA220" s="4"/>
      <c r="BB220" s="4"/>
      <c r="BC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4"/>
      <c r="AX221" s="4"/>
      <c r="AY221" s="4"/>
      <c r="AZ221" s="4"/>
      <c r="BA221" s="4"/>
      <c r="BB221" s="4"/>
      <c r="BC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4"/>
      <c r="AX222" s="4"/>
      <c r="AY222" s="4"/>
      <c r="AZ222" s="4"/>
      <c r="BA222" s="4"/>
      <c r="BB222" s="4"/>
      <c r="BC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4"/>
      <c r="AX223" s="4"/>
      <c r="AY223" s="4"/>
      <c r="AZ223" s="4"/>
      <c r="BA223" s="4"/>
      <c r="BB223" s="4"/>
      <c r="BC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4"/>
      <c r="AY224" s="4"/>
      <c r="AZ224" s="4"/>
      <c r="BA224" s="4"/>
      <c r="BB224" s="4"/>
      <c r="BC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4"/>
      <c r="AX225" s="4"/>
      <c r="AY225" s="4"/>
      <c r="AZ225" s="4"/>
      <c r="BA225" s="4"/>
      <c r="BB225" s="4"/>
      <c r="BC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4"/>
      <c r="AX226" s="4"/>
      <c r="AY226" s="4"/>
      <c r="AZ226" s="4"/>
      <c r="BA226" s="4"/>
      <c r="BB226" s="4"/>
      <c r="BC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4"/>
      <c r="AX227" s="4"/>
      <c r="AY227" s="4"/>
      <c r="AZ227" s="4"/>
      <c r="BA227" s="4"/>
      <c r="BB227" s="4"/>
      <c r="BC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4"/>
      <c r="AX228" s="4"/>
      <c r="AY228" s="4"/>
      <c r="AZ228" s="4"/>
      <c r="BA228" s="4"/>
      <c r="BB228" s="4"/>
      <c r="BC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4"/>
      <c r="AX229" s="4"/>
      <c r="AY229" s="4"/>
      <c r="AZ229" s="4"/>
      <c r="BA229" s="4"/>
      <c r="BB229" s="4"/>
      <c r="BC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4"/>
      <c r="AX230" s="4"/>
      <c r="AY230" s="4"/>
      <c r="AZ230" s="4"/>
      <c r="BA230" s="4"/>
      <c r="BB230" s="4"/>
      <c r="BC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4"/>
      <c r="AX231" s="4"/>
      <c r="AY231" s="4"/>
      <c r="AZ231" s="4"/>
      <c r="BA231" s="4"/>
      <c r="BB231" s="4"/>
      <c r="BC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4"/>
      <c r="AX232" s="4"/>
      <c r="AY232" s="4"/>
      <c r="AZ232" s="4"/>
      <c r="BA232" s="4"/>
      <c r="BB232" s="4"/>
      <c r="BC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4"/>
      <c r="AX233" s="4"/>
      <c r="AY233" s="4"/>
      <c r="AZ233" s="4"/>
      <c r="BA233" s="4"/>
      <c r="BB233" s="4"/>
      <c r="BC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4"/>
      <c r="AY234" s="4"/>
      <c r="AZ234" s="4"/>
      <c r="BA234" s="4"/>
      <c r="BB234" s="4"/>
      <c r="BC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4"/>
      <c r="AX235" s="4"/>
      <c r="AY235" s="4"/>
      <c r="AZ235" s="4"/>
      <c r="BA235" s="4"/>
      <c r="BB235" s="4"/>
      <c r="BC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4"/>
      <c r="AX236" s="4"/>
      <c r="AY236" s="4"/>
      <c r="AZ236" s="4"/>
      <c r="BA236" s="4"/>
      <c r="BB236" s="4"/>
      <c r="BC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4"/>
      <c r="AY237" s="4"/>
      <c r="AZ237" s="4"/>
      <c r="BA237" s="4"/>
      <c r="BB237" s="4"/>
      <c r="BC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4"/>
      <c r="AY238" s="4"/>
      <c r="AZ238" s="4"/>
      <c r="BA238" s="4"/>
      <c r="BB238" s="4"/>
      <c r="BC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4"/>
      <c r="AY239" s="4"/>
      <c r="AZ239" s="4"/>
      <c r="BA239" s="4"/>
      <c r="BB239" s="4"/>
      <c r="BC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4"/>
      <c r="AY240" s="4"/>
      <c r="AZ240" s="4"/>
      <c r="BA240" s="4"/>
      <c r="BB240" s="4"/>
      <c r="BC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4"/>
      <c r="AY241" s="4"/>
      <c r="AZ241" s="4"/>
      <c r="BA241" s="4"/>
      <c r="BB241" s="4"/>
      <c r="BC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4"/>
      <c r="AY242" s="4"/>
      <c r="AZ242" s="4"/>
      <c r="BA242" s="4"/>
      <c r="BB242" s="4"/>
      <c r="BC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4"/>
      <c r="AY243" s="4"/>
      <c r="AZ243" s="4"/>
      <c r="BA243" s="4"/>
      <c r="BB243" s="4"/>
      <c r="BC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4"/>
      <c r="AY244" s="4"/>
      <c r="AZ244" s="4"/>
      <c r="BA244" s="4"/>
      <c r="BB244" s="4"/>
      <c r="BC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4"/>
      <c r="AY245" s="4"/>
      <c r="AZ245" s="4"/>
      <c r="BA245" s="4"/>
      <c r="BB245" s="4"/>
      <c r="BC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4"/>
      <c r="AY246" s="4"/>
      <c r="AZ246" s="4"/>
      <c r="BA246" s="4"/>
      <c r="BB246" s="4"/>
      <c r="BC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4"/>
      <c r="AX247" s="4"/>
      <c r="AY247" s="4"/>
      <c r="AZ247" s="4"/>
      <c r="BA247" s="4"/>
      <c r="BB247" s="4"/>
      <c r="BC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4"/>
      <c r="AX248" s="4"/>
      <c r="AY248" s="4"/>
      <c r="AZ248" s="4"/>
      <c r="BA248" s="4"/>
      <c r="BB248" s="4"/>
      <c r="BC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4"/>
      <c r="AX249" s="4"/>
      <c r="AY249" s="4"/>
      <c r="AZ249" s="4"/>
      <c r="BA249" s="4"/>
      <c r="BB249" s="4"/>
      <c r="BC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4"/>
      <c r="AX250" s="4"/>
      <c r="AY250" s="4"/>
      <c r="AZ250" s="4"/>
      <c r="BA250" s="4"/>
      <c r="BB250" s="4"/>
      <c r="BC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4"/>
      <c r="AX251" s="4"/>
      <c r="AY251" s="4"/>
      <c r="AZ251" s="4"/>
      <c r="BA251" s="4"/>
      <c r="BB251" s="4"/>
      <c r="BC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4"/>
      <c r="AX252" s="4"/>
      <c r="AY252" s="4"/>
      <c r="AZ252" s="4"/>
      <c r="BA252" s="4"/>
      <c r="BB252" s="4"/>
      <c r="BC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4"/>
      <c r="AX253" s="4"/>
      <c r="AY253" s="4"/>
      <c r="AZ253" s="4"/>
      <c r="BA253" s="4"/>
      <c r="BB253" s="4"/>
      <c r="BC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4"/>
      <c r="AX254" s="4"/>
      <c r="AY254" s="4"/>
      <c r="AZ254" s="4"/>
      <c r="BA254" s="4"/>
      <c r="BB254" s="4"/>
      <c r="BC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4"/>
      <c r="AX255" s="4"/>
      <c r="AY255" s="4"/>
      <c r="AZ255" s="4"/>
      <c r="BA255" s="4"/>
      <c r="BB255" s="4"/>
      <c r="BC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4"/>
      <c r="AX256" s="4"/>
      <c r="AY256" s="4"/>
      <c r="AZ256" s="4"/>
      <c r="BA256" s="4"/>
      <c r="BB256" s="4"/>
      <c r="BC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4"/>
      <c r="AX257" s="4"/>
      <c r="AY257" s="4"/>
      <c r="AZ257" s="4"/>
      <c r="BA257" s="4"/>
      <c r="BB257" s="4"/>
      <c r="BC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4"/>
      <c r="AX258" s="4"/>
      <c r="AY258" s="4"/>
      <c r="AZ258" s="4"/>
      <c r="BA258" s="4"/>
      <c r="BB258" s="4"/>
      <c r="BC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4"/>
      <c r="AX259" s="4"/>
      <c r="AY259" s="4"/>
      <c r="AZ259" s="4"/>
      <c r="BA259" s="4"/>
      <c r="BB259" s="4"/>
      <c r="BC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4"/>
      <c r="AX260" s="4"/>
      <c r="AY260" s="4"/>
      <c r="AZ260" s="4"/>
      <c r="BA260" s="4"/>
      <c r="BB260" s="4"/>
      <c r="BC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4"/>
      <c r="AX261" s="4"/>
      <c r="AY261" s="4"/>
      <c r="AZ261" s="4"/>
      <c r="BA261" s="4"/>
      <c r="BB261" s="4"/>
      <c r="BC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4"/>
      <c r="AX262" s="4"/>
      <c r="AY262" s="4"/>
      <c r="AZ262" s="4"/>
      <c r="BA262" s="4"/>
      <c r="BB262" s="4"/>
      <c r="BC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4"/>
      <c r="AX263" s="4"/>
      <c r="AY263" s="4"/>
      <c r="AZ263" s="4"/>
      <c r="BA263" s="4"/>
      <c r="BB263" s="4"/>
      <c r="BC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4"/>
      <c r="AX264" s="4"/>
      <c r="AY264" s="4"/>
      <c r="AZ264" s="4"/>
      <c r="BA264" s="4"/>
      <c r="BB264" s="4"/>
      <c r="BC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4"/>
      <c r="AX265" s="4"/>
      <c r="AY265" s="4"/>
      <c r="AZ265" s="4"/>
      <c r="BA265" s="4"/>
      <c r="BB265" s="4"/>
      <c r="BC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4"/>
      <c r="AY266" s="4"/>
      <c r="AZ266" s="4"/>
      <c r="BA266" s="4"/>
      <c r="BB266" s="4"/>
      <c r="BC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4"/>
      <c r="AX267" s="4"/>
      <c r="AY267" s="4"/>
      <c r="AZ267" s="4"/>
      <c r="BA267" s="4"/>
      <c r="BB267" s="4"/>
      <c r="BC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4"/>
      <c r="AX268" s="4"/>
      <c r="AY268" s="4"/>
      <c r="AZ268" s="4"/>
      <c r="BA268" s="4"/>
      <c r="BB268" s="4"/>
      <c r="BC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4"/>
      <c r="AX269" s="4"/>
      <c r="AY269" s="4"/>
      <c r="AZ269" s="4"/>
      <c r="BA269" s="4"/>
      <c r="BB269" s="4"/>
      <c r="BC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4"/>
      <c r="AX270" s="4"/>
      <c r="AY270" s="4"/>
      <c r="AZ270" s="4"/>
      <c r="BA270" s="4"/>
      <c r="BB270" s="4"/>
      <c r="BC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4"/>
      <c r="AX271" s="4"/>
      <c r="AY271" s="4"/>
      <c r="AZ271" s="4"/>
      <c r="BA271" s="4"/>
      <c r="BB271" s="4"/>
      <c r="BC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4"/>
      <c r="AX272" s="4"/>
      <c r="AY272" s="4"/>
      <c r="AZ272" s="4"/>
      <c r="BA272" s="4"/>
      <c r="BB272" s="4"/>
      <c r="BC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4"/>
      <c r="AX273" s="4"/>
      <c r="AY273" s="4"/>
      <c r="AZ273" s="4"/>
      <c r="BA273" s="4"/>
      <c r="BB273" s="4"/>
      <c r="BC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4"/>
      <c r="AX274" s="4"/>
      <c r="AY274" s="4"/>
      <c r="AZ274" s="4"/>
      <c r="BA274" s="4"/>
      <c r="BB274" s="4"/>
      <c r="BC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4"/>
      <c r="AX275" s="4"/>
      <c r="AY275" s="4"/>
      <c r="AZ275" s="4"/>
      <c r="BA275" s="4"/>
      <c r="BB275" s="4"/>
      <c r="BC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4"/>
      <c r="AY276" s="4"/>
      <c r="AZ276" s="4"/>
      <c r="BA276" s="4"/>
      <c r="BB276" s="4"/>
      <c r="BC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c r="AP277" s="4"/>
      <c r="AQ277" s="4"/>
      <c r="AR277" s="4"/>
      <c r="AS277" s="4"/>
      <c r="AT277" s="4"/>
      <c r="AU277" s="4"/>
      <c r="AV277" s="4"/>
      <c r="AW277" s="4"/>
      <c r="AX277" s="4"/>
      <c r="AY277" s="4"/>
      <c r="AZ277" s="4"/>
      <c r="BA277" s="4"/>
      <c r="BB277" s="4"/>
      <c r="BC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c r="AP278" s="4"/>
      <c r="AQ278" s="4"/>
      <c r="AR278" s="4"/>
      <c r="AS278" s="4"/>
      <c r="AT278" s="4"/>
      <c r="AU278" s="4"/>
      <c r="AV278" s="4"/>
      <c r="AW278" s="4"/>
      <c r="AX278" s="4"/>
      <c r="AY278" s="4"/>
      <c r="AZ278" s="4"/>
      <c r="BA278" s="4"/>
      <c r="BB278" s="4"/>
      <c r="BC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c r="AP279" s="4"/>
      <c r="AQ279" s="4"/>
      <c r="AR279" s="4"/>
      <c r="AS279" s="4"/>
      <c r="AT279" s="4"/>
      <c r="AU279" s="4"/>
      <c r="AV279" s="4"/>
      <c r="AW279" s="4"/>
      <c r="AX279" s="4"/>
      <c r="AY279" s="4"/>
      <c r="AZ279" s="4"/>
      <c r="BA279" s="4"/>
      <c r="BB279" s="4"/>
      <c r="BC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c r="AP280" s="4"/>
      <c r="AQ280" s="4"/>
      <c r="AR280" s="4"/>
      <c r="AS280" s="4"/>
      <c r="AT280" s="4"/>
      <c r="AU280" s="4"/>
      <c r="AV280" s="4"/>
      <c r="AW280" s="4"/>
      <c r="AX280" s="4"/>
      <c r="AY280" s="4"/>
      <c r="AZ280" s="4"/>
      <c r="BA280" s="4"/>
      <c r="BB280" s="4"/>
      <c r="BC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c r="AP281" s="4"/>
      <c r="AQ281" s="4"/>
      <c r="AR281" s="4"/>
      <c r="AS281" s="4"/>
      <c r="AT281" s="4"/>
      <c r="AU281" s="4"/>
      <c r="AV281" s="4"/>
      <c r="AW281" s="4"/>
      <c r="AX281" s="4"/>
      <c r="AY281" s="4"/>
      <c r="AZ281" s="4"/>
      <c r="BA281" s="4"/>
      <c r="BB281" s="4"/>
      <c r="BC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c r="AP282" s="4"/>
      <c r="AQ282" s="4"/>
      <c r="AR282" s="4"/>
      <c r="AS282" s="4"/>
      <c r="AT282" s="4"/>
      <c r="AU282" s="4"/>
      <c r="AV282" s="4"/>
      <c r="AW282" s="4"/>
      <c r="AX282" s="4"/>
      <c r="AY282" s="4"/>
      <c r="AZ282" s="4"/>
      <c r="BA282" s="4"/>
      <c r="BB282" s="4"/>
      <c r="BC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c r="AP283" s="4"/>
      <c r="AQ283" s="4"/>
      <c r="AR283" s="4"/>
      <c r="AS283" s="4"/>
      <c r="AT283" s="4"/>
      <c r="AU283" s="4"/>
      <c r="AV283" s="4"/>
      <c r="AW283" s="4"/>
      <c r="AX283" s="4"/>
      <c r="AY283" s="4"/>
      <c r="AZ283" s="4"/>
      <c r="BA283" s="4"/>
      <c r="BB283" s="4"/>
      <c r="BC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c r="AP284" s="4"/>
      <c r="AQ284" s="4"/>
      <c r="AR284" s="4"/>
      <c r="AS284" s="4"/>
      <c r="AT284" s="4"/>
      <c r="AU284" s="4"/>
      <c r="AV284" s="4"/>
      <c r="AW284" s="4"/>
      <c r="AX284" s="4"/>
      <c r="AY284" s="4"/>
      <c r="AZ284" s="4"/>
      <c r="BA284" s="4"/>
      <c r="BB284" s="4"/>
      <c r="BC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c r="AP285" s="4"/>
      <c r="AQ285" s="4"/>
      <c r="AR285" s="4"/>
      <c r="AS285" s="4"/>
      <c r="AT285" s="4"/>
      <c r="AU285" s="4"/>
      <c r="AV285" s="4"/>
      <c r="AW285" s="4"/>
      <c r="AX285" s="4"/>
      <c r="AY285" s="4"/>
      <c r="AZ285" s="4"/>
      <c r="BA285" s="4"/>
      <c r="BB285" s="4"/>
      <c r="BC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c r="AP286" s="4"/>
      <c r="AQ286" s="4"/>
      <c r="AR286" s="4"/>
      <c r="AS286" s="4"/>
      <c r="AT286" s="4"/>
      <c r="AU286" s="4"/>
      <c r="AV286" s="4"/>
      <c r="AW286" s="4"/>
      <c r="AX286" s="4"/>
      <c r="AY286" s="4"/>
      <c r="AZ286" s="4"/>
      <c r="BA286" s="4"/>
      <c r="BB286" s="4"/>
      <c r="BC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c r="AP287" s="4"/>
      <c r="AQ287" s="4"/>
      <c r="AR287" s="4"/>
      <c r="AS287" s="4"/>
      <c r="AT287" s="4"/>
      <c r="AU287" s="4"/>
      <c r="AV287" s="4"/>
      <c r="AW287" s="4"/>
      <c r="AX287" s="4"/>
      <c r="AY287" s="4"/>
      <c r="AZ287" s="4"/>
      <c r="BA287" s="4"/>
      <c r="BB287" s="4"/>
      <c r="BC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c r="AP288" s="4"/>
      <c r="AQ288" s="4"/>
      <c r="AR288" s="4"/>
      <c r="AS288" s="4"/>
      <c r="AT288" s="4"/>
      <c r="AU288" s="4"/>
      <c r="AV288" s="4"/>
      <c r="AW288" s="4"/>
      <c r="AX288" s="4"/>
      <c r="AY288" s="4"/>
      <c r="AZ288" s="4"/>
      <c r="BA288" s="4"/>
      <c r="BB288" s="4"/>
      <c r="BC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c r="AP289" s="4"/>
      <c r="AQ289" s="4"/>
      <c r="AR289" s="4"/>
      <c r="AS289" s="4"/>
      <c r="AT289" s="4"/>
      <c r="AU289" s="4"/>
      <c r="AV289" s="4"/>
      <c r="AW289" s="4"/>
      <c r="AX289" s="4"/>
      <c r="AY289" s="4"/>
      <c r="AZ289" s="4"/>
      <c r="BA289" s="4"/>
      <c r="BB289" s="4"/>
      <c r="BC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c r="AP290" s="4"/>
      <c r="AQ290" s="4"/>
      <c r="AR290" s="4"/>
      <c r="AS290" s="4"/>
      <c r="AT290" s="4"/>
      <c r="AU290" s="4"/>
      <c r="AV290" s="4"/>
      <c r="AW290" s="4"/>
      <c r="AX290" s="4"/>
      <c r="AY290" s="4"/>
      <c r="AZ290" s="4"/>
      <c r="BA290" s="4"/>
      <c r="BB290" s="4"/>
      <c r="BC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c r="AP291" s="4"/>
      <c r="AQ291" s="4"/>
      <c r="AR291" s="4"/>
      <c r="AS291" s="4"/>
      <c r="AT291" s="4"/>
      <c r="AU291" s="4"/>
      <c r="AV291" s="4"/>
      <c r="AW291" s="4"/>
      <c r="AX291" s="4"/>
      <c r="AY291" s="4"/>
      <c r="AZ291" s="4"/>
      <c r="BA291" s="4"/>
      <c r="BB291" s="4"/>
      <c r="BC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c r="AP292" s="4"/>
      <c r="AQ292" s="4"/>
      <c r="AR292" s="4"/>
      <c r="AS292" s="4"/>
      <c r="AT292" s="4"/>
      <c r="AU292" s="4"/>
      <c r="AV292" s="4"/>
      <c r="AW292" s="4"/>
      <c r="AX292" s="4"/>
      <c r="AY292" s="4"/>
      <c r="AZ292" s="4"/>
      <c r="BA292" s="4"/>
      <c r="BB292" s="4"/>
      <c r="BC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c r="AP293" s="4"/>
      <c r="AQ293" s="4"/>
      <c r="AR293" s="4"/>
      <c r="AS293" s="4"/>
      <c r="AT293" s="4"/>
      <c r="AU293" s="4"/>
      <c r="AV293" s="4"/>
      <c r="AW293" s="4"/>
      <c r="AX293" s="4"/>
      <c r="AY293" s="4"/>
      <c r="AZ293" s="4"/>
      <c r="BA293" s="4"/>
      <c r="BB293" s="4"/>
      <c r="BC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c r="AP294" s="4"/>
      <c r="AQ294" s="4"/>
      <c r="AR294" s="4"/>
      <c r="AS294" s="4"/>
      <c r="AT294" s="4"/>
      <c r="AU294" s="4"/>
      <c r="AV294" s="4"/>
      <c r="AW294" s="4"/>
      <c r="AX294" s="4"/>
      <c r="AY294" s="4"/>
      <c r="AZ294" s="4"/>
      <c r="BA294" s="4"/>
      <c r="BB294" s="4"/>
      <c r="BC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c r="AP295" s="4"/>
      <c r="AQ295" s="4"/>
      <c r="AR295" s="4"/>
      <c r="AS295" s="4"/>
      <c r="AT295" s="4"/>
      <c r="AU295" s="4"/>
      <c r="AV295" s="4"/>
      <c r="AW295" s="4"/>
      <c r="AX295" s="4"/>
      <c r="AY295" s="4"/>
      <c r="AZ295" s="4"/>
      <c r="BA295" s="4"/>
      <c r="BB295" s="4"/>
      <c r="BC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c r="AP296" s="4"/>
      <c r="AQ296" s="4"/>
      <c r="AR296" s="4"/>
      <c r="AS296" s="4"/>
      <c r="AT296" s="4"/>
      <c r="AU296" s="4"/>
      <c r="AV296" s="4"/>
      <c r="AW296" s="4"/>
      <c r="AX296" s="4"/>
      <c r="AY296" s="4"/>
      <c r="AZ296" s="4"/>
      <c r="BA296" s="4"/>
      <c r="BB296" s="4"/>
      <c r="BC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c r="AP297" s="4"/>
      <c r="AQ297" s="4"/>
      <c r="AR297" s="4"/>
      <c r="AS297" s="4"/>
      <c r="AT297" s="4"/>
      <c r="AU297" s="4"/>
      <c r="AV297" s="4"/>
      <c r="AW297" s="4"/>
      <c r="AX297" s="4"/>
      <c r="AY297" s="4"/>
      <c r="AZ297" s="4"/>
      <c r="BA297" s="4"/>
      <c r="BB297" s="4"/>
      <c r="BC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c r="AP298" s="4"/>
      <c r="AQ298" s="4"/>
      <c r="AR298" s="4"/>
      <c r="AS298" s="4"/>
      <c r="AT298" s="4"/>
      <c r="AU298" s="4"/>
      <c r="AV298" s="4"/>
      <c r="AW298" s="4"/>
      <c r="AX298" s="4"/>
      <c r="AY298" s="4"/>
      <c r="AZ298" s="4"/>
      <c r="BA298" s="4"/>
      <c r="BB298" s="4"/>
      <c r="BC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c r="AP299" s="4"/>
      <c r="AQ299" s="4"/>
      <c r="AR299" s="4"/>
      <c r="AS299" s="4"/>
      <c r="AT299" s="4"/>
      <c r="AU299" s="4"/>
      <c r="AV299" s="4"/>
      <c r="AW299" s="4"/>
      <c r="AX299" s="4"/>
      <c r="AY299" s="4"/>
      <c r="AZ299" s="4"/>
      <c r="BA299" s="4"/>
      <c r="BB299" s="4"/>
      <c r="BC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c r="AP300" s="4"/>
      <c r="AQ300" s="4"/>
      <c r="AR300" s="4"/>
      <c r="AS300" s="4"/>
      <c r="AT300" s="4"/>
      <c r="AU300" s="4"/>
      <c r="AV300" s="4"/>
      <c r="AW300" s="4"/>
      <c r="AX300" s="4"/>
      <c r="AY300" s="4"/>
      <c r="AZ300" s="4"/>
      <c r="BA300" s="4"/>
      <c r="BB300" s="4"/>
      <c r="BC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c r="AP301" s="4"/>
      <c r="AQ301" s="4"/>
      <c r="AR301" s="4"/>
      <c r="AS301" s="4"/>
      <c r="AT301" s="4"/>
      <c r="AU301" s="4"/>
      <c r="AV301" s="4"/>
      <c r="AW301" s="4"/>
      <c r="AX301" s="4"/>
      <c r="AY301" s="4"/>
      <c r="AZ301" s="4"/>
      <c r="BA301" s="4"/>
      <c r="BB301" s="4"/>
      <c r="BC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c r="AP302" s="4"/>
      <c r="AQ302" s="4"/>
      <c r="AR302" s="4"/>
      <c r="AS302" s="4"/>
      <c r="AT302" s="4"/>
      <c r="AU302" s="4"/>
      <c r="AV302" s="4"/>
      <c r="AW302" s="4"/>
      <c r="AX302" s="4"/>
      <c r="AY302" s="4"/>
      <c r="AZ302" s="4"/>
      <c r="BA302" s="4"/>
      <c r="BB302" s="4"/>
      <c r="BC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c r="AP303" s="4"/>
      <c r="AQ303" s="4"/>
      <c r="AR303" s="4"/>
      <c r="AS303" s="4"/>
      <c r="AT303" s="4"/>
      <c r="AU303" s="4"/>
      <c r="AV303" s="4"/>
      <c r="AW303" s="4"/>
      <c r="AX303" s="4"/>
      <c r="AY303" s="4"/>
      <c r="AZ303" s="4"/>
      <c r="BA303" s="4"/>
      <c r="BB303" s="4"/>
      <c r="BC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c r="AP304" s="4"/>
      <c r="AQ304" s="4"/>
      <c r="AR304" s="4"/>
      <c r="AS304" s="4"/>
      <c r="AT304" s="4"/>
      <c r="AU304" s="4"/>
      <c r="AV304" s="4"/>
      <c r="AW304" s="4"/>
      <c r="AX304" s="4"/>
      <c r="AY304" s="4"/>
      <c r="AZ304" s="4"/>
      <c r="BA304" s="4"/>
      <c r="BB304" s="4"/>
      <c r="BC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c r="AP305" s="4"/>
      <c r="AQ305" s="4"/>
      <c r="AR305" s="4"/>
      <c r="AS305" s="4"/>
      <c r="AT305" s="4"/>
      <c r="AU305" s="4"/>
      <c r="AV305" s="4"/>
      <c r="AW305" s="4"/>
      <c r="AX305" s="4"/>
      <c r="AY305" s="4"/>
      <c r="AZ305" s="4"/>
      <c r="BA305" s="4"/>
      <c r="BB305" s="4"/>
      <c r="BC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c r="AP306" s="4"/>
      <c r="AQ306" s="4"/>
      <c r="AR306" s="4"/>
      <c r="AS306" s="4"/>
      <c r="AT306" s="4"/>
      <c r="AU306" s="4"/>
      <c r="AV306" s="4"/>
      <c r="AW306" s="4"/>
      <c r="AX306" s="4"/>
      <c r="AY306" s="4"/>
      <c r="AZ306" s="4"/>
      <c r="BA306" s="4"/>
      <c r="BB306" s="4"/>
      <c r="BC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c r="AP307" s="4"/>
      <c r="AQ307" s="4"/>
      <c r="AR307" s="4"/>
      <c r="AS307" s="4"/>
      <c r="AT307" s="4"/>
      <c r="AU307" s="4"/>
      <c r="AV307" s="4"/>
      <c r="AW307" s="4"/>
      <c r="AX307" s="4"/>
      <c r="AY307" s="4"/>
      <c r="AZ307" s="4"/>
      <c r="BA307" s="4"/>
      <c r="BB307" s="4"/>
      <c r="BC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c r="AP308" s="4"/>
      <c r="AQ308" s="4"/>
      <c r="AR308" s="4"/>
      <c r="AS308" s="4"/>
      <c r="AT308" s="4"/>
      <c r="AU308" s="4"/>
      <c r="AV308" s="4"/>
      <c r="AW308" s="4"/>
      <c r="AX308" s="4"/>
      <c r="AY308" s="4"/>
      <c r="AZ308" s="4"/>
      <c r="BA308" s="4"/>
      <c r="BB308" s="4"/>
      <c r="BC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c r="AP309" s="4"/>
      <c r="AQ309" s="4"/>
      <c r="AR309" s="4"/>
      <c r="AS309" s="4"/>
      <c r="AT309" s="4"/>
      <c r="AU309" s="4"/>
      <c r="AV309" s="4"/>
      <c r="AW309" s="4"/>
      <c r="AX309" s="4"/>
      <c r="AY309" s="4"/>
      <c r="AZ309" s="4"/>
      <c r="BA309" s="4"/>
      <c r="BB309" s="4"/>
      <c r="BC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c r="AP310" s="4"/>
      <c r="AQ310" s="4"/>
      <c r="AR310" s="4"/>
      <c r="AS310" s="4"/>
      <c r="AT310" s="4"/>
      <c r="AU310" s="4"/>
      <c r="AV310" s="4"/>
      <c r="AW310" s="4"/>
      <c r="AX310" s="4"/>
      <c r="AY310" s="4"/>
      <c r="AZ310" s="4"/>
      <c r="BA310" s="4"/>
      <c r="BB310" s="4"/>
      <c r="BC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c r="AP311" s="4"/>
      <c r="AQ311" s="4"/>
      <c r="AR311" s="4"/>
      <c r="AS311" s="4"/>
      <c r="AT311" s="4"/>
      <c r="AU311" s="4"/>
      <c r="AV311" s="4"/>
      <c r="AW311" s="4"/>
      <c r="AX311" s="4"/>
      <c r="AY311" s="4"/>
      <c r="AZ311" s="4"/>
      <c r="BA311" s="4"/>
      <c r="BB311" s="4"/>
      <c r="BC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c r="AP312" s="4"/>
      <c r="AQ312" s="4"/>
      <c r="AR312" s="4"/>
      <c r="AS312" s="4"/>
      <c r="AT312" s="4"/>
      <c r="AU312" s="4"/>
      <c r="AV312" s="4"/>
      <c r="AW312" s="4"/>
      <c r="AX312" s="4"/>
      <c r="AY312" s="4"/>
      <c r="AZ312" s="4"/>
      <c r="BA312" s="4"/>
      <c r="BB312" s="4"/>
      <c r="BC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c r="AP313" s="4"/>
      <c r="AQ313" s="4"/>
      <c r="AR313" s="4"/>
      <c r="AS313" s="4"/>
      <c r="AT313" s="4"/>
      <c r="AU313" s="4"/>
      <c r="AV313" s="4"/>
      <c r="AW313" s="4"/>
      <c r="AX313" s="4"/>
      <c r="AY313" s="4"/>
      <c r="AZ313" s="4"/>
      <c r="BA313" s="4"/>
      <c r="BB313" s="4"/>
      <c r="BC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c r="AP314" s="4"/>
      <c r="AQ314" s="4"/>
      <c r="AR314" s="4"/>
      <c r="AS314" s="4"/>
      <c r="AT314" s="4"/>
      <c r="AU314" s="4"/>
      <c r="AV314" s="4"/>
      <c r="AW314" s="4"/>
      <c r="AX314" s="4"/>
      <c r="AY314" s="4"/>
      <c r="AZ314" s="4"/>
      <c r="BA314" s="4"/>
      <c r="BB314" s="4"/>
      <c r="BC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c r="AP315" s="4"/>
      <c r="AQ315" s="4"/>
      <c r="AR315" s="4"/>
      <c r="AS315" s="4"/>
      <c r="AT315" s="4"/>
      <c r="AU315" s="4"/>
      <c r="AV315" s="4"/>
      <c r="AW315" s="4"/>
      <c r="AX315" s="4"/>
      <c r="AY315" s="4"/>
      <c r="AZ315" s="4"/>
      <c r="BA315" s="4"/>
      <c r="BB315" s="4"/>
      <c r="BC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c r="AP316" s="4"/>
      <c r="AQ316" s="4"/>
      <c r="AR316" s="4"/>
      <c r="AS316" s="4"/>
      <c r="AT316" s="4"/>
      <c r="AU316" s="4"/>
      <c r="AV316" s="4"/>
      <c r="AW316" s="4"/>
      <c r="AX316" s="4"/>
      <c r="AY316" s="4"/>
      <c r="AZ316" s="4"/>
      <c r="BA316" s="4"/>
      <c r="BB316" s="4"/>
      <c r="BC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c r="AP317" s="4"/>
      <c r="AQ317" s="4"/>
      <c r="AR317" s="4"/>
      <c r="AS317" s="4"/>
      <c r="AT317" s="4"/>
      <c r="AU317" s="4"/>
      <c r="AV317" s="4"/>
      <c r="AW317" s="4"/>
      <c r="AX317" s="4"/>
      <c r="AY317" s="4"/>
      <c r="AZ317" s="4"/>
      <c r="BA317" s="4"/>
      <c r="BB317" s="4"/>
      <c r="BC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c r="AP318" s="4"/>
      <c r="AQ318" s="4"/>
      <c r="AR318" s="4"/>
      <c r="AS318" s="4"/>
      <c r="AT318" s="4"/>
      <c r="AU318" s="4"/>
      <c r="AV318" s="4"/>
      <c r="AW318" s="4"/>
      <c r="AX318" s="4"/>
      <c r="AY318" s="4"/>
      <c r="AZ318" s="4"/>
      <c r="BA318" s="4"/>
      <c r="BB318" s="4"/>
      <c r="BC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c r="AP319" s="4"/>
      <c r="AQ319" s="4"/>
      <c r="AR319" s="4"/>
      <c r="AS319" s="4"/>
      <c r="AT319" s="4"/>
      <c r="AU319" s="4"/>
      <c r="AV319" s="4"/>
      <c r="AW319" s="4"/>
      <c r="AX319" s="4"/>
      <c r="AY319" s="4"/>
      <c r="AZ319" s="4"/>
      <c r="BA319" s="4"/>
      <c r="BB319" s="4"/>
      <c r="BC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c r="AP320" s="4"/>
      <c r="AQ320" s="4"/>
      <c r="AR320" s="4"/>
      <c r="AS320" s="4"/>
      <c r="AT320" s="4"/>
      <c r="AU320" s="4"/>
      <c r="AV320" s="4"/>
      <c r="AW320" s="4"/>
      <c r="AX320" s="4"/>
      <c r="AY320" s="4"/>
      <c r="AZ320" s="4"/>
      <c r="BA320" s="4"/>
      <c r="BB320" s="4"/>
      <c r="BC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c r="AP321" s="4"/>
      <c r="AQ321" s="4"/>
      <c r="AR321" s="4"/>
      <c r="AS321" s="4"/>
      <c r="AT321" s="4"/>
      <c r="AU321" s="4"/>
      <c r="AV321" s="4"/>
      <c r="AW321" s="4"/>
      <c r="AX321" s="4"/>
      <c r="AY321" s="4"/>
      <c r="AZ321" s="4"/>
      <c r="BA321" s="4"/>
      <c r="BB321" s="4"/>
      <c r="BC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c r="AP322" s="4"/>
      <c r="AQ322" s="4"/>
      <c r="AR322" s="4"/>
      <c r="AS322" s="4"/>
      <c r="AT322" s="4"/>
      <c r="AU322" s="4"/>
      <c r="AV322" s="4"/>
      <c r="AW322" s="4"/>
      <c r="AX322" s="4"/>
      <c r="AY322" s="4"/>
      <c r="AZ322" s="4"/>
      <c r="BA322" s="4"/>
      <c r="BB322" s="4"/>
      <c r="BC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c r="AP323" s="4"/>
      <c r="AQ323" s="4"/>
      <c r="AR323" s="4"/>
      <c r="AS323" s="4"/>
      <c r="AT323" s="4"/>
      <c r="AU323" s="4"/>
      <c r="AV323" s="4"/>
      <c r="AW323" s="4"/>
      <c r="AX323" s="4"/>
      <c r="AY323" s="4"/>
      <c r="AZ323" s="4"/>
      <c r="BA323" s="4"/>
      <c r="BB323" s="4"/>
      <c r="BC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c r="AP324" s="4"/>
      <c r="AQ324" s="4"/>
      <c r="AR324" s="4"/>
      <c r="AS324" s="4"/>
      <c r="AT324" s="4"/>
      <c r="AU324" s="4"/>
      <c r="AV324" s="4"/>
      <c r="AW324" s="4"/>
      <c r="AX324" s="4"/>
      <c r="AY324" s="4"/>
      <c r="AZ324" s="4"/>
      <c r="BA324" s="4"/>
      <c r="BB324" s="4"/>
      <c r="BC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c r="AP325" s="4"/>
      <c r="AQ325" s="4"/>
      <c r="AR325" s="4"/>
      <c r="AS325" s="4"/>
      <c r="AT325" s="4"/>
      <c r="AU325" s="4"/>
      <c r="AV325" s="4"/>
      <c r="AW325" s="4"/>
      <c r="AX325" s="4"/>
      <c r="AY325" s="4"/>
      <c r="AZ325" s="4"/>
      <c r="BA325" s="4"/>
      <c r="BB325" s="4"/>
      <c r="BC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c r="AP326" s="4"/>
      <c r="AQ326" s="4"/>
      <c r="AR326" s="4"/>
      <c r="AS326" s="4"/>
      <c r="AT326" s="4"/>
      <c r="AU326" s="4"/>
      <c r="AV326" s="4"/>
      <c r="AW326" s="4"/>
      <c r="AX326" s="4"/>
      <c r="AY326" s="4"/>
      <c r="AZ326" s="4"/>
      <c r="BA326" s="4"/>
      <c r="BB326" s="4"/>
      <c r="BC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c r="AP327" s="4"/>
      <c r="AQ327" s="4"/>
      <c r="AR327" s="4"/>
      <c r="AS327" s="4"/>
      <c r="AT327" s="4"/>
      <c r="AU327" s="4"/>
      <c r="AV327" s="4"/>
      <c r="AW327" s="4"/>
      <c r="AX327" s="4"/>
      <c r="AY327" s="4"/>
      <c r="AZ327" s="4"/>
      <c r="BA327" s="4"/>
      <c r="BB327" s="4"/>
      <c r="BC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c r="AP328" s="4"/>
      <c r="AQ328" s="4"/>
      <c r="AR328" s="4"/>
      <c r="AS328" s="4"/>
      <c r="AT328" s="4"/>
      <c r="AU328" s="4"/>
      <c r="AV328" s="4"/>
      <c r="AW328" s="4"/>
      <c r="AX328" s="4"/>
      <c r="AY328" s="4"/>
      <c r="AZ328" s="4"/>
      <c r="BA328" s="4"/>
      <c r="BB328" s="4"/>
      <c r="BC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c r="AP329" s="4"/>
      <c r="AQ329" s="4"/>
      <c r="AR329" s="4"/>
      <c r="AS329" s="4"/>
      <c r="AT329" s="4"/>
      <c r="AU329" s="4"/>
      <c r="AV329" s="4"/>
      <c r="AW329" s="4"/>
      <c r="AX329" s="4"/>
      <c r="AY329" s="4"/>
      <c r="AZ329" s="4"/>
      <c r="BA329" s="4"/>
      <c r="BB329" s="4"/>
      <c r="BC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c r="AP330" s="4"/>
      <c r="AQ330" s="4"/>
      <c r="AR330" s="4"/>
      <c r="AS330" s="4"/>
      <c r="AT330" s="4"/>
      <c r="AU330" s="4"/>
      <c r="AV330" s="4"/>
      <c r="AW330" s="4"/>
      <c r="AX330" s="4"/>
      <c r="AY330" s="4"/>
      <c r="AZ330" s="4"/>
      <c r="BA330" s="4"/>
      <c r="BB330" s="4"/>
      <c r="BC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c r="AP331" s="4"/>
      <c r="AQ331" s="4"/>
      <c r="AR331" s="4"/>
      <c r="AS331" s="4"/>
      <c r="AT331" s="4"/>
      <c r="AU331" s="4"/>
      <c r="AV331" s="4"/>
      <c r="AW331" s="4"/>
      <c r="AX331" s="4"/>
      <c r="AY331" s="4"/>
      <c r="AZ331" s="4"/>
      <c r="BA331" s="4"/>
      <c r="BB331" s="4"/>
      <c r="BC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c r="AP332" s="4"/>
      <c r="AQ332" s="4"/>
      <c r="AR332" s="4"/>
      <c r="AS332" s="4"/>
      <c r="AT332" s="4"/>
      <c r="AU332" s="4"/>
      <c r="AV332" s="4"/>
      <c r="AW332" s="4"/>
      <c r="AX332" s="4"/>
      <c r="AY332" s="4"/>
      <c r="AZ332" s="4"/>
      <c r="BA332" s="4"/>
      <c r="BB332" s="4"/>
      <c r="BC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c r="AP333" s="4"/>
      <c r="AQ333" s="4"/>
      <c r="AR333" s="4"/>
      <c r="AS333" s="4"/>
      <c r="AT333" s="4"/>
      <c r="AU333" s="4"/>
      <c r="AV333" s="4"/>
      <c r="AW333" s="4"/>
      <c r="AX333" s="4"/>
      <c r="AY333" s="4"/>
      <c r="AZ333" s="4"/>
      <c r="BA333" s="4"/>
      <c r="BB333" s="4"/>
      <c r="BC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c r="AP334" s="4"/>
      <c r="AQ334" s="4"/>
      <c r="AR334" s="4"/>
      <c r="AS334" s="4"/>
      <c r="AT334" s="4"/>
      <c r="AU334" s="4"/>
      <c r="AV334" s="4"/>
      <c r="AW334" s="4"/>
      <c r="AX334" s="4"/>
      <c r="AY334" s="4"/>
      <c r="AZ334" s="4"/>
      <c r="BA334" s="4"/>
      <c r="BB334" s="4"/>
      <c r="BC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c r="AP335" s="4"/>
      <c r="AQ335" s="4"/>
      <c r="AR335" s="4"/>
      <c r="AS335" s="4"/>
      <c r="AT335" s="4"/>
      <c r="AU335" s="4"/>
      <c r="AV335" s="4"/>
      <c r="AW335" s="4"/>
      <c r="AX335" s="4"/>
      <c r="AY335" s="4"/>
      <c r="AZ335" s="4"/>
      <c r="BA335" s="4"/>
      <c r="BB335" s="4"/>
      <c r="BC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c r="AP336" s="4"/>
      <c r="AQ336" s="4"/>
      <c r="AR336" s="4"/>
      <c r="AS336" s="4"/>
      <c r="AT336" s="4"/>
      <c r="AU336" s="4"/>
      <c r="AV336" s="4"/>
      <c r="AW336" s="4"/>
      <c r="AX336" s="4"/>
      <c r="AY336" s="4"/>
      <c r="AZ336" s="4"/>
      <c r="BA336" s="4"/>
      <c r="BB336" s="4"/>
      <c r="BC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c r="AP337" s="4"/>
      <c r="AQ337" s="4"/>
      <c r="AR337" s="4"/>
      <c r="AS337" s="4"/>
      <c r="AT337" s="4"/>
      <c r="AU337" s="4"/>
      <c r="AV337" s="4"/>
      <c r="AW337" s="4"/>
      <c r="AX337" s="4"/>
      <c r="AY337" s="4"/>
      <c r="AZ337" s="4"/>
      <c r="BA337" s="4"/>
      <c r="BB337" s="4"/>
      <c r="BC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c r="AP338" s="4"/>
      <c r="AQ338" s="4"/>
      <c r="AR338" s="4"/>
      <c r="AS338" s="4"/>
      <c r="AT338" s="4"/>
      <c r="AU338" s="4"/>
      <c r="AV338" s="4"/>
      <c r="AW338" s="4"/>
      <c r="AX338" s="4"/>
      <c r="AY338" s="4"/>
      <c r="AZ338" s="4"/>
      <c r="BA338" s="4"/>
      <c r="BB338" s="4"/>
      <c r="BC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c r="AP339" s="4"/>
      <c r="AQ339" s="4"/>
      <c r="AR339" s="4"/>
      <c r="AS339" s="4"/>
      <c r="AT339" s="4"/>
      <c r="AU339" s="4"/>
      <c r="AV339" s="4"/>
      <c r="AW339" s="4"/>
      <c r="AX339" s="4"/>
      <c r="AY339" s="4"/>
      <c r="AZ339" s="4"/>
      <c r="BA339" s="4"/>
      <c r="BB339" s="4"/>
      <c r="BC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c r="AP340" s="4"/>
      <c r="AQ340" s="4"/>
      <c r="AR340" s="4"/>
      <c r="AS340" s="4"/>
      <c r="AT340" s="4"/>
      <c r="AU340" s="4"/>
      <c r="AV340" s="4"/>
      <c r="AW340" s="4"/>
      <c r="AX340" s="4"/>
      <c r="AY340" s="4"/>
      <c r="AZ340" s="4"/>
      <c r="BA340" s="4"/>
      <c r="BB340" s="4"/>
      <c r="BC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c r="AP341" s="4"/>
      <c r="AQ341" s="4"/>
      <c r="AR341" s="4"/>
      <c r="AS341" s="4"/>
      <c r="AT341" s="4"/>
      <c r="AU341" s="4"/>
      <c r="AV341" s="4"/>
      <c r="AW341" s="4"/>
      <c r="AX341" s="4"/>
      <c r="AY341" s="4"/>
      <c r="AZ341" s="4"/>
      <c r="BA341" s="4"/>
      <c r="BB341" s="4"/>
      <c r="BC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c r="AP342" s="4"/>
      <c r="AQ342" s="4"/>
      <c r="AR342" s="4"/>
      <c r="AS342" s="4"/>
      <c r="AT342" s="4"/>
      <c r="AU342" s="4"/>
      <c r="AV342" s="4"/>
      <c r="AW342" s="4"/>
      <c r="AX342" s="4"/>
      <c r="AY342" s="4"/>
      <c r="AZ342" s="4"/>
      <c r="BA342" s="4"/>
      <c r="BB342" s="4"/>
      <c r="BC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c r="AP343" s="4"/>
      <c r="AQ343" s="4"/>
      <c r="AR343" s="4"/>
      <c r="AS343" s="4"/>
      <c r="AT343" s="4"/>
      <c r="AU343" s="4"/>
      <c r="AV343" s="4"/>
      <c r="AW343" s="4"/>
      <c r="AX343" s="4"/>
      <c r="AY343" s="4"/>
      <c r="AZ343" s="4"/>
      <c r="BA343" s="4"/>
      <c r="BB343" s="4"/>
      <c r="BC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c r="AP344" s="4"/>
      <c r="AQ344" s="4"/>
      <c r="AR344" s="4"/>
      <c r="AS344" s="4"/>
      <c r="AT344" s="4"/>
      <c r="AU344" s="4"/>
      <c r="AV344" s="4"/>
      <c r="AW344" s="4"/>
      <c r="AX344" s="4"/>
      <c r="AY344" s="4"/>
      <c r="AZ344" s="4"/>
      <c r="BA344" s="4"/>
      <c r="BB344" s="4"/>
      <c r="BC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c r="AP345" s="4"/>
      <c r="AQ345" s="4"/>
      <c r="AR345" s="4"/>
      <c r="AS345" s="4"/>
      <c r="AT345" s="4"/>
      <c r="AU345" s="4"/>
      <c r="AV345" s="4"/>
      <c r="AW345" s="4"/>
      <c r="AX345" s="4"/>
      <c r="AY345" s="4"/>
      <c r="AZ345" s="4"/>
      <c r="BA345" s="4"/>
      <c r="BB345" s="4"/>
      <c r="BC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c r="AP346" s="4"/>
      <c r="AQ346" s="4"/>
      <c r="AR346" s="4"/>
      <c r="AS346" s="4"/>
      <c r="AT346" s="4"/>
      <c r="AU346" s="4"/>
      <c r="AV346" s="4"/>
      <c r="AW346" s="4"/>
      <c r="AX346" s="4"/>
      <c r="AY346" s="4"/>
      <c r="AZ346" s="4"/>
      <c r="BA346" s="4"/>
      <c r="BB346" s="4"/>
      <c r="BC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c r="AP347" s="4"/>
      <c r="AQ347" s="4"/>
      <c r="AR347" s="4"/>
      <c r="AS347" s="4"/>
      <c r="AT347" s="4"/>
      <c r="AU347" s="4"/>
      <c r="AV347" s="4"/>
      <c r="AW347" s="4"/>
      <c r="AX347" s="4"/>
      <c r="AY347" s="4"/>
      <c r="AZ347" s="4"/>
      <c r="BA347" s="4"/>
      <c r="BB347" s="4"/>
      <c r="BC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4"/>
      <c r="AX348" s="4"/>
      <c r="AY348" s="4"/>
      <c r="AZ348" s="4"/>
      <c r="BA348" s="4"/>
      <c r="BB348" s="4"/>
      <c r="BC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4"/>
      <c r="AX349" s="4"/>
      <c r="AY349" s="4"/>
      <c r="AZ349" s="4"/>
      <c r="BA349" s="4"/>
      <c r="BB349" s="4"/>
      <c r="BC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4"/>
      <c r="AX350" s="4"/>
      <c r="AY350" s="4"/>
      <c r="AZ350" s="4"/>
      <c r="BA350" s="4"/>
      <c r="BB350" s="4"/>
      <c r="BC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c r="AP351" s="4"/>
      <c r="AQ351" s="4"/>
      <c r="AR351" s="4"/>
      <c r="AS351" s="4"/>
      <c r="AT351" s="4"/>
      <c r="AU351" s="4"/>
      <c r="AV351" s="4"/>
      <c r="AW351" s="4"/>
      <c r="AX351" s="4"/>
      <c r="AY351" s="4"/>
      <c r="AZ351" s="4"/>
      <c r="BA351" s="4"/>
      <c r="BB351" s="4"/>
      <c r="BC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c r="AP352" s="4"/>
      <c r="AQ352" s="4"/>
      <c r="AR352" s="4"/>
      <c r="AS352" s="4"/>
      <c r="AT352" s="4"/>
      <c r="AU352" s="4"/>
      <c r="AV352" s="4"/>
      <c r="AW352" s="4"/>
      <c r="AX352" s="4"/>
      <c r="AY352" s="4"/>
      <c r="AZ352" s="4"/>
      <c r="BA352" s="4"/>
      <c r="BB352" s="4"/>
      <c r="BC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c r="AP353" s="4"/>
      <c r="AQ353" s="4"/>
      <c r="AR353" s="4"/>
      <c r="AS353" s="4"/>
      <c r="AT353" s="4"/>
      <c r="AU353" s="4"/>
      <c r="AV353" s="4"/>
      <c r="AW353" s="4"/>
      <c r="AX353" s="4"/>
      <c r="AY353" s="4"/>
      <c r="AZ353" s="4"/>
      <c r="BA353" s="4"/>
      <c r="BB353" s="4"/>
      <c r="BC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c r="AP354" s="4"/>
      <c r="AQ354" s="4"/>
      <c r="AR354" s="4"/>
      <c r="AS354" s="4"/>
      <c r="AT354" s="4"/>
      <c r="AU354" s="4"/>
      <c r="AV354" s="4"/>
      <c r="AW354" s="4"/>
      <c r="AX354" s="4"/>
      <c r="AY354" s="4"/>
      <c r="AZ354" s="4"/>
      <c r="BA354" s="4"/>
      <c r="BB354" s="4"/>
      <c r="BC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c r="AP355" s="4"/>
      <c r="AQ355" s="4"/>
      <c r="AR355" s="4"/>
      <c r="AS355" s="4"/>
      <c r="AT355" s="4"/>
      <c r="AU355" s="4"/>
      <c r="AV355" s="4"/>
      <c r="AW355" s="4"/>
      <c r="AX355" s="4"/>
      <c r="AY355" s="4"/>
      <c r="AZ355" s="4"/>
      <c r="BA355" s="4"/>
      <c r="BB355" s="4"/>
      <c r="BC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c r="AP356" s="4"/>
      <c r="AQ356" s="4"/>
      <c r="AR356" s="4"/>
      <c r="AS356" s="4"/>
      <c r="AT356" s="4"/>
      <c r="AU356" s="4"/>
      <c r="AV356" s="4"/>
      <c r="AW356" s="4"/>
      <c r="AX356" s="4"/>
      <c r="AY356" s="4"/>
      <c r="AZ356" s="4"/>
      <c r="BA356" s="4"/>
      <c r="BB356" s="4"/>
      <c r="BC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c r="AP357" s="4"/>
      <c r="AQ357" s="4"/>
      <c r="AR357" s="4"/>
      <c r="AS357" s="4"/>
      <c r="AT357" s="4"/>
      <c r="AU357" s="4"/>
      <c r="AV357" s="4"/>
      <c r="AW357" s="4"/>
      <c r="AX357" s="4"/>
      <c r="AY357" s="4"/>
      <c r="AZ357" s="4"/>
      <c r="BA357" s="4"/>
      <c r="BB357" s="4"/>
      <c r="BC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c r="AP358" s="4"/>
      <c r="AQ358" s="4"/>
      <c r="AR358" s="4"/>
      <c r="AS358" s="4"/>
      <c r="AT358" s="4"/>
      <c r="AU358" s="4"/>
      <c r="AV358" s="4"/>
      <c r="AW358" s="4"/>
      <c r="AX358" s="4"/>
      <c r="AY358" s="4"/>
      <c r="AZ358" s="4"/>
      <c r="BA358" s="4"/>
      <c r="BB358" s="4"/>
      <c r="BC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c r="AP359" s="4"/>
      <c r="AQ359" s="4"/>
      <c r="AR359" s="4"/>
      <c r="AS359" s="4"/>
      <c r="AT359" s="4"/>
      <c r="AU359" s="4"/>
      <c r="AV359" s="4"/>
      <c r="AW359" s="4"/>
      <c r="AX359" s="4"/>
      <c r="AY359" s="4"/>
      <c r="AZ359" s="4"/>
      <c r="BA359" s="4"/>
      <c r="BB359" s="4"/>
      <c r="BC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c r="AP360" s="4"/>
      <c r="AQ360" s="4"/>
      <c r="AR360" s="4"/>
      <c r="AS360" s="4"/>
      <c r="AT360" s="4"/>
      <c r="AU360" s="4"/>
      <c r="AV360" s="4"/>
      <c r="AW360" s="4"/>
      <c r="AX360" s="4"/>
      <c r="AY360" s="4"/>
      <c r="AZ360" s="4"/>
      <c r="BA360" s="4"/>
      <c r="BB360" s="4"/>
      <c r="BC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c r="AP361" s="4"/>
      <c r="AQ361" s="4"/>
      <c r="AR361" s="4"/>
      <c r="AS361" s="4"/>
      <c r="AT361" s="4"/>
      <c r="AU361" s="4"/>
      <c r="AV361" s="4"/>
      <c r="AW361" s="4"/>
      <c r="AX361" s="4"/>
      <c r="AY361" s="4"/>
      <c r="AZ361" s="4"/>
      <c r="BA361" s="4"/>
      <c r="BB361" s="4"/>
      <c r="BC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c r="AP362" s="4"/>
      <c r="AQ362" s="4"/>
      <c r="AR362" s="4"/>
      <c r="AS362" s="4"/>
      <c r="AT362" s="4"/>
      <c r="AU362" s="4"/>
      <c r="AV362" s="4"/>
      <c r="AW362" s="4"/>
      <c r="AX362" s="4"/>
      <c r="AY362" s="4"/>
      <c r="AZ362" s="4"/>
      <c r="BA362" s="4"/>
      <c r="BB362" s="4"/>
      <c r="BC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c r="AP363" s="4"/>
      <c r="AQ363" s="4"/>
      <c r="AR363" s="4"/>
      <c r="AS363" s="4"/>
      <c r="AT363" s="4"/>
      <c r="AU363" s="4"/>
      <c r="AV363" s="4"/>
      <c r="AW363" s="4"/>
      <c r="AX363" s="4"/>
      <c r="AY363" s="4"/>
      <c r="AZ363" s="4"/>
      <c r="BA363" s="4"/>
      <c r="BB363" s="4"/>
      <c r="BC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c r="AP364" s="4"/>
      <c r="AQ364" s="4"/>
      <c r="AR364" s="4"/>
      <c r="AS364" s="4"/>
      <c r="AT364" s="4"/>
      <c r="AU364" s="4"/>
      <c r="AV364" s="4"/>
      <c r="AW364" s="4"/>
      <c r="AX364" s="4"/>
      <c r="AY364" s="4"/>
      <c r="AZ364" s="4"/>
      <c r="BA364" s="4"/>
      <c r="BB364" s="4"/>
      <c r="BC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c r="AP365" s="4"/>
      <c r="AQ365" s="4"/>
      <c r="AR365" s="4"/>
      <c r="AS365" s="4"/>
      <c r="AT365" s="4"/>
      <c r="AU365" s="4"/>
      <c r="AV365" s="4"/>
      <c r="AW365" s="4"/>
      <c r="AX365" s="4"/>
      <c r="AY365" s="4"/>
      <c r="AZ365" s="4"/>
      <c r="BA365" s="4"/>
      <c r="BB365" s="4"/>
      <c r="BC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c r="AP366" s="4"/>
      <c r="AQ366" s="4"/>
      <c r="AR366" s="4"/>
      <c r="AS366" s="4"/>
      <c r="AT366" s="4"/>
      <c r="AU366" s="4"/>
      <c r="AV366" s="4"/>
      <c r="AW366" s="4"/>
      <c r="AX366" s="4"/>
      <c r="AY366" s="4"/>
      <c r="AZ366" s="4"/>
      <c r="BA366" s="4"/>
      <c r="BB366" s="4"/>
      <c r="BC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c r="AP367" s="4"/>
      <c r="AQ367" s="4"/>
      <c r="AR367" s="4"/>
      <c r="AS367" s="4"/>
      <c r="AT367" s="4"/>
      <c r="AU367" s="4"/>
      <c r="AV367" s="4"/>
      <c r="AW367" s="4"/>
      <c r="AX367" s="4"/>
      <c r="AY367" s="4"/>
      <c r="AZ367" s="4"/>
      <c r="BA367" s="4"/>
      <c r="BB367" s="4"/>
      <c r="BC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c r="AP368" s="4"/>
      <c r="AQ368" s="4"/>
      <c r="AR368" s="4"/>
      <c r="AS368" s="4"/>
      <c r="AT368" s="4"/>
      <c r="AU368" s="4"/>
      <c r="AV368" s="4"/>
      <c r="AW368" s="4"/>
      <c r="AX368" s="4"/>
      <c r="AY368" s="4"/>
      <c r="AZ368" s="4"/>
      <c r="BA368" s="4"/>
      <c r="BB368" s="4"/>
      <c r="BC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c r="AP369" s="4"/>
      <c r="AQ369" s="4"/>
      <c r="AR369" s="4"/>
      <c r="AS369" s="4"/>
      <c r="AT369" s="4"/>
      <c r="AU369" s="4"/>
      <c r="AV369" s="4"/>
      <c r="AW369" s="4"/>
      <c r="AX369" s="4"/>
      <c r="AY369" s="4"/>
      <c r="AZ369" s="4"/>
      <c r="BA369" s="4"/>
      <c r="BB369" s="4"/>
      <c r="BC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c r="AP370" s="4"/>
      <c r="AQ370" s="4"/>
      <c r="AR370" s="4"/>
      <c r="AS370" s="4"/>
      <c r="AT370" s="4"/>
      <c r="AU370" s="4"/>
      <c r="AV370" s="4"/>
      <c r="AW370" s="4"/>
      <c r="AX370" s="4"/>
      <c r="AY370" s="4"/>
      <c r="AZ370" s="4"/>
      <c r="BA370" s="4"/>
      <c r="BB370" s="4"/>
      <c r="BC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c r="AP371" s="4"/>
      <c r="AQ371" s="4"/>
      <c r="AR371" s="4"/>
      <c r="AS371" s="4"/>
      <c r="AT371" s="4"/>
      <c r="AU371" s="4"/>
      <c r="AV371" s="4"/>
      <c r="AW371" s="4"/>
      <c r="AX371" s="4"/>
      <c r="AY371" s="4"/>
      <c r="AZ371" s="4"/>
      <c r="BA371" s="4"/>
      <c r="BB371" s="4"/>
      <c r="BC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c r="AP372" s="4"/>
      <c r="AQ372" s="4"/>
      <c r="AR372" s="4"/>
      <c r="AS372" s="4"/>
      <c r="AT372" s="4"/>
      <c r="AU372" s="4"/>
      <c r="AV372" s="4"/>
      <c r="AW372" s="4"/>
      <c r="AX372" s="4"/>
      <c r="AY372" s="4"/>
      <c r="AZ372" s="4"/>
      <c r="BA372" s="4"/>
      <c r="BB372" s="4"/>
      <c r="BC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c r="AP373" s="4"/>
      <c r="AQ373" s="4"/>
      <c r="AR373" s="4"/>
      <c r="AS373" s="4"/>
      <c r="AT373" s="4"/>
      <c r="AU373" s="4"/>
      <c r="AV373" s="4"/>
      <c r="AW373" s="4"/>
      <c r="AX373" s="4"/>
      <c r="AY373" s="4"/>
      <c r="AZ373" s="4"/>
      <c r="BA373" s="4"/>
      <c r="BB373" s="4"/>
      <c r="BC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c r="AP374" s="4"/>
      <c r="AQ374" s="4"/>
      <c r="AR374" s="4"/>
      <c r="AS374" s="4"/>
      <c r="AT374" s="4"/>
      <c r="AU374" s="4"/>
      <c r="AV374" s="4"/>
      <c r="AW374" s="4"/>
      <c r="AX374" s="4"/>
      <c r="AY374" s="4"/>
      <c r="AZ374" s="4"/>
      <c r="BA374" s="4"/>
      <c r="BB374" s="4"/>
      <c r="BC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c r="AP375" s="4"/>
      <c r="AQ375" s="4"/>
      <c r="AR375" s="4"/>
      <c r="AS375" s="4"/>
      <c r="AT375" s="4"/>
      <c r="AU375" s="4"/>
      <c r="AV375" s="4"/>
      <c r="AW375" s="4"/>
      <c r="AX375" s="4"/>
      <c r="AY375" s="4"/>
      <c r="AZ375" s="4"/>
      <c r="BA375" s="4"/>
      <c r="BB375" s="4"/>
      <c r="BC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c r="AP376" s="4"/>
      <c r="AQ376" s="4"/>
      <c r="AR376" s="4"/>
      <c r="AS376" s="4"/>
      <c r="AT376" s="4"/>
      <c r="AU376" s="4"/>
      <c r="AV376" s="4"/>
      <c r="AW376" s="4"/>
      <c r="AX376" s="4"/>
      <c r="AY376" s="4"/>
      <c r="AZ376" s="4"/>
      <c r="BA376" s="4"/>
      <c r="BB376" s="4"/>
      <c r="BC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c r="AP377" s="4"/>
      <c r="AQ377" s="4"/>
      <c r="AR377" s="4"/>
      <c r="AS377" s="4"/>
      <c r="AT377" s="4"/>
      <c r="AU377" s="4"/>
      <c r="AV377" s="4"/>
      <c r="AW377" s="4"/>
      <c r="AX377" s="4"/>
      <c r="AY377" s="4"/>
      <c r="AZ377" s="4"/>
      <c r="BA377" s="4"/>
      <c r="BB377" s="4"/>
      <c r="BC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c r="AP378" s="4"/>
      <c r="AQ378" s="4"/>
      <c r="AR378" s="4"/>
      <c r="AS378" s="4"/>
      <c r="AT378" s="4"/>
      <c r="AU378" s="4"/>
      <c r="AV378" s="4"/>
      <c r="AW378" s="4"/>
      <c r="AX378" s="4"/>
      <c r="AY378" s="4"/>
      <c r="AZ378" s="4"/>
      <c r="BA378" s="4"/>
      <c r="BB378" s="4"/>
      <c r="BC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c r="AP379" s="4"/>
      <c r="AQ379" s="4"/>
      <c r="AR379" s="4"/>
      <c r="AS379" s="4"/>
      <c r="AT379" s="4"/>
      <c r="AU379" s="4"/>
      <c r="AV379" s="4"/>
      <c r="AW379" s="4"/>
      <c r="AX379" s="4"/>
      <c r="AY379" s="4"/>
      <c r="AZ379" s="4"/>
      <c r="BA379" s="4"/>
      <c r="BB379" s="4"/>
      <c r="BC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c r="AP380" s="4"/>
      <c r="AQ380" s="4"/>
      <c r="AR380" s="4"/>
      <c r="AS380" s="4"/>
      <c r="AT380" s="4"/>
      <c r="AU380" s="4"/>
      <c r="AV380" s="4"/>
      <c r="AW380" s="4"/>
      <c r="AX380" s="4"/>
      <c r="AY380" s="4"/>
      <c r="AZ380" s="4"/>
      <c r="BA380" s="4"/>
      <c r="BB380" s="4"/>
      <c r="BC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c r="AP381" s="4"/>
      <c r="AQ381" s="4"/>
      <c r="AR381" s="4"/>
      <c r="AS381" s="4"/>
      <c r="AT381" s="4"/>
      <c r="AU381" s="4"/>
      <c r="AV381" s="4"/>
      <c r="AW381" s="4"/>
      <c r="AX381" s="4"/>
      <c r="AY381" s="4"/>
      <c r="AZ381" s="4"/>
      <c r="BA381" s="4"/>
      <c r="BB381" s="4"/>
      <c r="BC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c r="AP382" s="4"/>
      <c r="AQ382" s="4"/>
      <c r="AR382" s="4"/>
      <c r="AS382" s="4"/>
      <c r="AT382" s="4"/>
      <c r="AU382" s="4"/>
      <c r="AV382" s="4"/>
      <c r="AW382" s="4"/>
      <c r="AX382" s="4"/>
      <c r="AY382" s="4"/>
      <c r="AZ382" s="4"/>
      <c r="BA382" s="4"/>
      <c r="BB382" s="4"/>
      <c r="BC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c r="AP383" s="4"/>
      <c r="AQ383" s="4"/>
      <c r="AR383" s="4"/>
      <c r="AS383" s="4"/>
      <c r="AT383" s="4"/>
      <c r="AU383" s="4"/>
      <c r="AV383" s="4"/>
      <c r="AW383" s="4"/>
      <c r="AX383" s="4"/>
      <c r="AY383" s="4"/>
      <c r="AZ383" s="4"/>
      <c r="BA383" s="4"/>
      <c r="BB383" s="4"/>
      <c r="BC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c r="AP384" s="4"/>
      <c r="AQ384" s="4"/>
      <c r="AR384" s="4"/>
      <c r="AS384" s="4"/>
      <c r="AT384" s="4"/>
      <c r="AU384" s="4"/>
      <c r="AV384" s="4"/>
      <c r="AW384" s="4"/>
      <c r="AX384" s="4"/>
      <c r="AY384" s="4"/>
      <c r="AZ384" s="4"/>
      <c r="BA384" s="4"/>
      <c r="BB384" s="4"/>
      <c r="BC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c r="AP385" s="4"/>
      <c r="AQ385" s="4"/>
      <c r="AR385" s="4"/>
      <c r="AS385" s="4"/>
      <c r="AT385" s="4"/>
      <c r="AU385" s="4"/>
      <c r="AV385" s="4"/>
      <c r="AW385" s="4"/>
      <c r="AX385" s="4"/>
      <c r="AY385" s="4"/>
      <c r="AZ385" s="4"/>
      <c r="BA385" s="4"/>
      <c r="BB385" s="4"/>
      <c r="BC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c r="AP386" s="4"/>
      <c r="AQ386" s="4"/>
      <c r="AR386" s="4"/>
      <c r="AS386" s="4"/>
      <c r="AT386" s="4"/>
      <c r="AU386" s="4"/>
      <c r="AV386" s="4"/>
      <c r="AW386" s="4"/>
      <c r="AX386" s="4"/>
      <c r="AY386" s="4"/>
      <c r="AZ386" s="4"/>
      <c r="BA386" s="4"/>
      <c r="BB386" s="4"/>
      <c r="BC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c r="AP387" s="4"/>
      <c r="AQ387" s="4"/>
      <c r="AR387" s="4"/>
      <c r="AS387" s="4"/>
      <c r="AT387" s="4"/>
      <c r="AU387" s="4"/>
      <c r="AV387" s="4"/>
      <c r="AW387" s="4"/>
      <c r="AX387" s="4"/>
      <c r="AY387" s="4"/>
      <c r="AZ387" s="4"/>
      <c r="BA387" s="4"/>
      <c r="BB387" s="4"/>
      <c r="BC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c r="AP388" s="4"/>
      <c r="AQ388" s="4"/>
      <c r="AR388" s="4"/>
      <c r="AS388" s="4"/>
      <c r="AT388" s="4"/>
      <c r="AU388" s="4"/>
      <c r="AV388" s="4"/>
      <c r="AW388" s="4"/>
      <c r="AX388" s="4"/>
      <c r="AY388" s="4"/>
      <c r="AZ388" s="4"/>
      <c r="BA388" s="4"/>
      <c r="BB388" s="4"/>
      <c r="BC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c r="AP389" s="4"/>
      <c r="AQ389" s="4"/>
      <c r="AR389" s="4"/>
      <c r="AS389" s="4"/>
      <c r="AT389" s="4"/>
      <c r="AU389" s="4"/>
      <c r="AV389" s="4"/>
      <c r="AW389" s="4"/>
      <c r="AX389" s="4"/>
      <c r="AY389" s="4"/>
      <c r="AZ389" s="4"/>
      <c r="BA389" s="4"/>
      <c r="BB389" s="4"/>
      <c r="BC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c r="AP390" s="4"/>
      <c r="AQ390" s="4"/>
      <c r="AR390" s="4"/>
      <c r="AS390" s="4"/>
      <c r="AT390" s="4"/>
      <c r="AU390" s="4"/>
      <c r="AV390" s="4"/>
      <c r="AW390" s="4"/>
      <c r="AX390" s="4"/>
      <c r="AY390" s="4"/>
      <c r="AZ390" s="4"/>
      <c r="BA390" s="4"/>
      <c r="BB390" s="4"/>
      <c r="BC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c r="AP391" s="4"/>
      <c r="AQ391" s="4"/>
      <c r="AR391" s="4"/>
      <c r="AS391" s="4"/>
      <c r="AT391" s="4"/>
      <c r="AU391" s="4"/>
      <c r="AV391" s="4"/>
      <c r="AW391" s="4"/>
      <c r="AX391" s="4"/>
      <c r="AY391" s="4"/>
      <c r="AZ391" s="4"/>
      <c r="BA391" s="4"/>
      <c r="BB391" s="4"/>
      <c r="BC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c r="AP392" s="4"/>
      <c r="AQ392" s="4"/>
      <c r="AR392" s="4"/>
      <c r="AS392" s="4"/>
      <c r="AT392" s="4"/>
      <c r="AU392" s="4"/>
      <c r="AV392" s="4"/>
      <c r="AW392" s="4"/>
      <c r="AX392" s="4"/>
      <c r="AY392" s="4"/>
      <c r="AZ392" s="4"/>
      <c r="BA392" s="4"/>
      <c r="BB392" s="4"/>
      <c r="BC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c r="AP393" s="4"/>
      <c r="AQ393" s="4"/>
      <c r="AR393" s="4"/>
      <c r="AS393" s="4"/>
      <c r="AT393" s="4"/>
      <c r="AU393" s="4"/>
      <c r="AV393" s="4"/>
      <c r="AW393" s="4"/>
      <c r="AX393" s="4"/>
      <c r="AY393" s="4"/>
      <c r="AZ393" s="4"/>
      <c r="BA393" s="4"/>
      <c r="BB393" s="4"/>
      <c r="BC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c r="AP394" s="4"/>
      <c r="AQ394" s="4"/>
      <c r="AR394" s="4"/>
      <c r="AS394" s="4"/>
      <c r="AT394" s="4"/>
      <c r="AU394" s="4"/>
      <c r="AV394" s="4"/>
      <c r="AW394" s="4"/>
      <c r="AX394" s="4"/>
      <c r="AY394" s="4"/>
      <c r="AZ394" s="4"/>
      <c r="BA394" s="4"/>
      <c r="BB394" s="4"/>
      <c r="BC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c r="AP395" s="4"/>
      <c r="AQ395" s="4"/>
      <c r="AR395" s="4"/>
      <c r="AS395" s="4"/>
      <c r="AT395" s="4"/>
      <c r="AU395" s="4"/>
      <c r="AV395" s="4"/>
      <c r="AW395" s="4"/>
      <c r="AX395" s="4"/>
      <c r="AY395" s="4"/>
      <c r="AZ395" s="4"/>
      <c r="BA395" s="4"/>
      <c r="BB395" s="4"/>
      <c r="BC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c r="AP396" s="4"/>
      <c r="AQ396" s="4"/>
      <c r="AR396" s="4"/>
      <c r="AS396" s="4"/>
      <c r="AT396" s="4"/>
      <c r="AU396" s="4"/>
      <c r="AV396" s="4"/>
      <c r="AW396" s="4"/>
      <c r="AX396" s="4"/>
      <c r="AY396" s="4"/>
      <c r="AZ396" s="4"/>
      <c r="BA396" s="4"/>
      <c r="BB396" s="4"/>
      <c r="BC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c r="AP397" s="4"/>
      <c r="AQ397" s="4"/>
      <c r="AR397" s="4"/>
      <c r="AS397" s="4"/>
      <c r="AT397" s="4"/>
      <c r="AU397" s="4"/>
      <c r="AV397" s="4"/>
      <c r="AW397" s="4"/>
      <c r="AX397" s="4"/>
      <c r="AY397" s="4"/>
      <c r="AZ397" s="4"/>
      <c r="BA397" s="4"/>
      <c r="BB397" s="4"/>
      <c r="BC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c r="AP398" s="4"/>
      <c r="AQ398" s="4"/>
      <c r="AR398" s="4"/>
      <c r="AS398" s="4"/>
      <c r="AT398" s="4"/>
      <c r="AU398" s="4"/>
      <c r="AV398" s="4"/>
      <c r="AW398" s="4"/>
      <c r="AX398" s="4"/>
      <c r="AY398" s="4"/>
      <c r="AZ398" s="4"/>
      <c r="BA398" s="4"/>
      <c r="BB398" s="4"/>
      <c r="BC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c r="AP399" s="4"/>
      <c r="AQ399" s="4"/>
      <c r="AR399" s="4"/>
      <c r="AS399" s="4"/>
      <c r="AT399" s="4"/>
      <c r="AU399" s="4"/>
      <c r="AV399" s="4"/>
      <c r="AW399" s="4"/>
      <c r="AX399" s="4"/>
      <c r="AY399" s="4"/>
      <c r="AZ399" s="4"/>
      <c r="BA399" s="4"/>
      <c r="BB399" s="4"/>
      <c r="BC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c r="AP400" s="4"/>
      <c r="AQ400" s="4"/>
      <c r="AR400" s="4"/>
      <c r="AS400" s="4"/>
      <c r="AT400" s="4"/>
      <c r="AU400" s="4"/>
      <c r="AV400" s="4"/>
      <c r="AW400" s="4"/>
      <c r="AX400" s="4"/>
      <c r="AY400" s="4"/>
      <c r="AZ400" s="4"/>
      <c r="BA400" s="4"/>
      <c r="BB400" s="4"/>
      <c r="BC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c r="AP401" s="4"/>
      <c r="AQ401" s="4"/>
      <c r="AR401" s="4"/>
      <c r="AS401" s="4"/>
      <c r="AT401" s="4"/>
      <c r="AU401" s="4"/>
      <c r="AV401" s="4"/>
      <c r="AW401" s="4"/>
      <c r="AX401" s="4"/>
      <c r="AY401" s="4"/>
      <c r="AZ401" s="4"/>
      <c r="BA401" s="4"/>
      <c r="BB401" s="4"/>
      <c r="BC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c r="AP402" s="4"/>
      <c r="AQ402" s="4"/>
      <c r="AR402" s="4"/>
      <c r="AS402" s="4"/>
      <c r="AT402" s="4"/>
      <c r="AU402" s="4"/>
      <c r="AV402" s="4"/>
      <c r="AW402" s="4"/>
      <c r="AX402" s="4"/>
      <c r="AY402" s="4"/>
      <c r="AZ402" s="4"/>
      <c r="BA402" s="4"/>
      <c r="BB402" s="4"/>
      <c r="BC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c r="AP403" s="4"/>
      <c r="AQ403" s="4"/>
      <c r="AR403" s="4"/>
      <c r="AS403" s="4"/>
      <c r="AT403" s="4"/>
      <c r="AU403" s="4"/>
      <c r="AV403" s="4"/>
      <c r="AW403" s="4"/>
      <c r="AX403" s="4"/>
      <c r="AY403" s="4"/>
      <c r="AZ403" s="4"/>
      <c r="BA403" s="4"/>
      <c r="BB403" s="4"/>
      <c r="BC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c r="AP404" s="4"/>
      <c r="AQ404" s="4"/>
      <c r="AR404" s="4"/>
      <c r="AS404" s="4"/>
      <c r="AT404" s="4"/>
      <c r="AU404" s="4"/>
      <c r="AV404" s="4"/>
      <c r="AW404" s="4"/>
      <c r="AX404" s="4"/>
      <c r="AY404" s="4"/>
      <c r="AZ404" s="4"/>
      <c r="BA404" s="4"/>
      <c r="BB404" s="4"/>
      <c r="BC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c r="AP405" s="4"/>
      <c r="AQ405" s="4"/>
      <c r="AR405" s="4"/>
      <c r="AS405" s="4"/>
      <c r="AT405" s="4"/>
      <c r="AU405" s="4"/>
      <c r="AV405" s="4"/>
      <c r="AW405" s="4"/>
      <c r="AX405" s="4"/>
      <c r="AY405" s="4"/>
      <c r="AZ405" s="4"/>
      <c r="BA405" s="4"/>
      <c r="BB405" s="4"/>
      <c r="BC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c r="AP406" s="4"/>
      <c r="AQ406" s="4"/>
      <c r="AR406" s="4"/>
      <c r="AS406" s="4"/>
      <c r="AT406" s="4"/>
      <c r="AU406" s="4"/>
      <c r="AV406" s="4"/>
      <c r="AW406" s="4"/>
      <c r="AX406" s="4"/>
      <c r="AY406" s="4"/>
      <c r="AZ406" s="4"/>
      <c r="BA406" s="4"/>
      <c r="BB406" s="4"/>
      <c r="BC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c r="AP407" s="4"/>
      <c r="AQ407" s="4"/>
      <c r="AR407" s="4"/>
      <c r="AS407" s="4"/>
      <c r="AT407" s="4"/>
      <c r="AU407" s="4"/>
      <c r="AV407" s="4"/>
      <c r="AW407" s="4"/>
      <c r="AX407" s="4"/>
      <c r="AY407" s="4"/>
      <c r="AZ407" s="4"/>
      <c r="BA407" s="4"/>
      <c r="BB407" s="4"/>
      <c r="BC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c r="AP408" s="4"/>
      <c r="AQ408" s="4"/>
      <c r="AR408" s="4"/>
      <c r="AS408" s="4"/>
      <c r="AT408" s="4"/>
      <c r="AU408" s="4"/>
      <c r="AV408" s="4"/>
      <c r="AW408" s="4"/>
      <c r="AX408" s="4"/>
      <c r="AY408" s="4"/>
      <c r="AZ408" s="4"/>
      <c r="BA408" s="4"/>
      <c r="BB408" s="4"/>
      <c r="BC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c r="AP409" s="4"/>
      <c r="AQ409" s="4"/>
      <c r="AR409" s="4"/>
      <c r="AS409" s="4"/>
      <c r="AT409" s="4"/>
      <c r="AU409" s="4"/>
      <c r="AV409" s="4"/>
      <c r="AW409" s="4"/>
      <c r="AX409" s="4"/>
      <c r="AY409" s="4"/>
      <c r="AZ409" s="4"/>
      <c r="BA409" s="4"/>
      <c r="BB409" s="4"/>
      <c r="BC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c r="AP410" s="4"/>
      <c r="AQ410" s="4"/>
      <c r="AR410" s="4"/>
      <c r="AS410" s="4"/>
      <c r="AT410" s="4"/>
      <c r="AU410" s="4"/>
      <c r="AV410" s="4"/>
      <c r="AW410" s="4"/>
      <c r="AX410" s="4"/>
      <c r="AY410" s="4"/>
      <c r="AZ410" s="4"/>
      <c r="BA410" s="4"/>
      <c r="BB410" s="4"/>
      <c r="BC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c r="AP411" s="4"/>
      <c r="AQ411" s="4"/>
      <c r="AR411" s="4"/>
      <c r="AS411" s="4"/>
      <c r="AT411" s="4"/>
      <c r="AU411" s="4"/>
      <c r="AV411" s="4"/>
      <c r="AW411" s="4"/>
      <c r="AX411" s="4"/>
      <c r="AY411" s="4"/>
      <c r="AZ411" s="4"/>
      <c r="BA411" s="4"/>
      <c r="BB411" s="4"/>
      <c r="BC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c r="AP412" s="4"/>
      <c r="AQ412" s="4"/>
      <c r="AR412" s="4"/>
      <c r="AS412" s="4"/>
      <c r="AT412" s="4"/>
      <c r="AU412" s="4"/>
      <c r="AV412" s="4"/>
      <c r="AW412" s="4"/>
      <c r="AX412" s="4"/>
      <c r="AY412" s="4"/>
      <c r="AZ412" s="4"/>
      <c r="BA412" s="4"/>
      <c r="BB412" s="4"/>
      <c r="BC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c r="AP413" s="4"/>
      <c r="AQ413" s="4"/>
      <c r="AR413" s="4"/>
      <c r="AS413" s="4"/>
      <c r="AT413" s="4"/>
      <c r="AU413" s="4"/>
      <c r="AV413" s="4"/>
      <c r="AW413" s="4"/>
      <c r="AX413" s="4"/>
      <c r="AY413" s="4"/>
      <c r="AZ413" s="4"/>
      <c r="BA413" s="4"/>
      <c r="BB413" s="4"/>
      <c r="BC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c r="AP414" s="4"/>
      <c r="AQ414" s="4"/>
      <c r="AR414" s="4"/>
      <c r="AS414" s="4"/>
      <c r="AT414" s="4"/>
      <c r="AU414" s="4"/>
      <c r="AV414" s="4"/>
      <c r="AW414" s="4"/>
      <c r="AX414" s="4"/>
      <c r="AY414" s="4"/>
      <c r="AZ414" s="4"/>
      <c r="BA414" s="4"/>
      <c r="BB414" s="4"/>
      <c r="BC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c r="AP415" s="4"/>
      <c r="AQ415" s="4"/>
      <c r="AR415" s="4"/>
      <c r="AS415" s="4"/>
      <c r="AT415" s="4"/>
      <c r="AU415" s="4"/>
      <c r="AV415" s="4"/>
      <c r="AW415" s="4"/>
      <c r="AX415" s="4"/>
      <c r="AY415" s="4"/>
      <c r="AZ415" s="4"/>
      <c r="BA415" s="4"/>
      <c r="BB415" s="4"/>
      <c r="BC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c r="AP416" s="4"/>
      <c r="AQ416" s="4"/>
      <c r="AR416" s="4"/>
      <c r="AS416" s="4"/>
      <c r="AT416" s="4"/>
      <c r="AU416" s="4"/>
      <c r="AV416" s="4"/>
      <c r="AW416" s="4"/>
      <c r="AX416" s="4"/>
      <c r="AY416" s="4"/>
      <c r="AZ416" s="4"/>
      <c r="BA416" s="4"/>
      <c r="BB416" s="4"/>
      <c r="BC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c r="AP417" s="4"/>
      <c r="AQ417" s="4"/>
      <c r="AR417" s="4"/>
      <c r="AS417" s="4"/>
      <c r="AT417" s="4"/>
      <c r="AU417" s="4"/>
      <c r="AV417" s="4"/>
      <c r="AW417" s="4"/>
      <c r="AX417" s="4"/>
      <c r="AY417" s="4"/>
      <c r="AZ417" s="4"/>
      <c r="BA417" s="4"/>
      <c r="BB417" s="4"/>
      <c r="BC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c r="AP418" s="4"/>
      <c r="AQ418" s="4"/>
      <c r="AR418" s="4"/>
      <c r="AS418" s="4"/>
      <c r="AT418" s="4"/>
      <c r="AU418" s="4"/>
      <c r="AV418" s="4"/>
      <c r="AW418" s="4"/>
      <c r="AX418" s="4"/>
      <c r="AY418" s="4"/>
      <c r="AZ418" s="4"/>
      <c r="BA418" s="4"/>
      <c r="BB418" s="4"/>
      <c r="BC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c r="AP419" s="4"/>
      <c r="AQ419" s="4"/>
      <c r="AR419" s="4"/>
      <c r="AS419" s="4"/>
      <c r="AT419" s="4"/>
      <c r="AU419" s="4"/>
      <c r="AV419" s="4"/>
      <c r="AW419" s="4"/>
      <c r="AX419" s="4"/>
      <c r="AY419" s="4"/>
      <c r="AZ419" s="4"/>
      <c r="BA419" s="4"/>
      <c r="BB419" s="4"/>
      <c r="BC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c r="AP420" s="4"/>
      <c r="AQ420" s="4"/>
      <c r="AR420" s="4"/>
      <c r="AS420" s="4"/>
      <c r="AT420" s="4"/>
      <c r="AU420" s="4"/>
      <c r="AV420" s="4"/>
      <c r="AW420" s="4"/>
      <c r="AX420" s="4"/>
      <c r="AY420" s="4"/>
      <c r="AZ420" s="4"/>
      <c r="BA420" s="4"/>
      <c r="BB420" s="4"/>
      <c r="BC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c r="AP421" s="4"/>
      <c r="AQ421" s="4"/>
      <c r="AR421" s="4"/>
      <c r="AS421" s="4"/>
      <c r="AT421" s="4"/>
      <c r="AU421" s="4"/>
      <c r="AV421" s="4"/>
      <c r="AW421" s="4"/>
      <c r="AX421" s="4"/>
      <c r="AY421" s="4"/>
      <c r="AZ421" s="4"/>
      <c r="BA421" s="4"/>
      <c r="BB421" s="4"/>
      <c r="BC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c r="AP422" s="4"/>
      <c r="AQ422" s="4"/>
      <c r="AR422" s="4"/>
      <c r="AS422" s="4"/>
      <c r="AT422" s="4"/>
      <c r="AU422" s="4"/>
      <c r="AV422" s="4"/>
      <c r="AW422" s="4"/>
      <c r="AX422" s="4"/>
      <c r="AY422" s="4"/>
      <c r="AZ422" s="4"/>
      <c r="BA422" s="4"/>
      <c r="BB422" s="4"/>
      <c r="BC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c r="AP423" s="4"/>
      <c r="AQ423" s="4"/>
      <c r="AR423" s="4"/>
      <c r="AS423" s="4"/>
      <c r="AT423" s="4"/>
      <c r="AU423" s="4"/>
      <c r="AV423" s="4"/>
      <c r="AW423" s="4"/>
      <c r="AX423" s="4"/>
      <c r="AY423" s="4"/>
      <c r="AZ423" s="4"/>
      <c r="BA423" s="4"/>
      <c r="BB423" s="4"/>
      <c r="BC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c r="AP424" s="4"/>
      <c r="AQ424" s="4"/>
      <c r="AR424" s="4"/>
      <c r="AS424" s="4"/>
      <c r="AT424" s="4"/>
      <c r="AU424" s="4"/>
      <c r="AV424" s="4"/>
      <c r="AW424" s="4"/>
      <c r="AX424" s="4"/>
      <c r="AY424" s="4"/>
      <c r="AZ424" s="4"/>
      <c r="BA424" s="4"/>
      <c r="BB424" s="4"/>
      <c r="BC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c r="AP425" s="4"/>
      <c r="AQ425" s="4"/>
      <c r="AR425" s="4"/>
      <c r="AS425" s="4"/>
      <c r="AT425" s="4"/>
      <c r="AU425" s="4"/>
      <c r="AV425" s="4"/>
      <c r="AW425" s="4"/>
      <c r="AX425" s="4"/>
      <c r="AY425" s="4"/>
      <c r="AZ425" s="4"/>
      <c r="BA425" s="4"/>
      <c r="BB425" s="4"/>
      <c r="BC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c r="AP426" s="4"/>
      <c r="AQ426" s="4"/>
      <c r="AR426" s="4"/>
      <c r="AS426" s="4"/>
      <c r="AT426" s="4"/>
      <c r="AU426" s="4"/>
      <c r="AV426" s="4"/>
      <c r="AW426" s="4"/>
      <c r="AX426" s="4"/>
      <c r="AY426" s="4"/>
      <c r="AZ426" s="4"/>
      <c r="BA426" s="4"/>
      <c r="BB426" s="4"/>
      <c r="BC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c r="AP427" s="4"/>
      <c r="AQ427" s="4"/>
      <c r="AR427" s="4"/>
      <c r="AS427" s="4"/>
      <c r="AT427" s="4"/>
      <c r="AU427" s="4"/>
      <c r="AV427" s="4"/>
      <c r="AW427" s="4"/>
      <c r="AX427" s="4"/>
      <c r="AY427" s="4"/>
      <c r="AZ427" s="4"/>
      <c r="BA427" s="4"/>
      <c r="BB427" s="4"/>
      <c r="BC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c r="AP428" s="4"/>
      <c r="AQ428" s="4"/>
      <c r="AR428" s="4"/>
      <c r="AS428" s="4"/>
      <c r="AT428" s="4"/>
      <c r="AU428" s="4"/>
      <c r="AV428" s="4"/>
      <c r="AW428" s="4"/>
      <c r="AX428" s="4"/>
      <c r="AY428" s="4"/>
      <c r="AZ428" s="4"/>
      <c r="BA428" s="4"/>
      <c r="BB428" s="4"/>
      <c r="BC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c r="AP429" s="4"/>
      <c r="AQ429" s="4"/>
      <c r="AR429" s="4"/>
      <c r="AS429" s="4"/>
      <c r="AT429" s="4"/>
      <c r="AU429" s="4"/>
      <c r="AV429" s="4"/>
      <c r="AW429" s="4"/>
      <c r="AX429" s="4"/>
      <c r="AY429" s="4"/>
      <c r="AZ429" s="4"/>
      <c r="BA429" s="4"/>
      <c r="BB429" s="4"/>
      <c r="BC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c r="AP430" s="4"/>
      <c r="AQ430" s="4"/>
      <c r="AR430" s="4"/>
      <c r="AS430" s="4"/>
      <c r="AT430" s="4"/>
      <c r="AU430" s="4"/>
      <c r="AV430" s="4"/>
      <c r="AW430" s="4"/>
      <c r="AX430" s="4"/>
      <c r="AY430" s="4"/>
      <c r="AZ430" s="4"/>
      <c r="BA430" s="4"/>
      <c r="BB430" s="4"/>
      <c r="BC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c r="AP431" s="4"/>
      <c r="AQ431" s="4"/>
      <c r="AR431" s="4"/>
      <c r="AS431" s="4"/>
      <c r="AT431" s="4"/>
      <c r="AU431" s="4"/>
      <c r="AV431" s="4"/>
      <c r="AW431" s="4"/>
      <c r="AX431" s="4"/>
      <c r="AY431" s="4"/>
      <c r="AZ431" s="4"/>
      <c r="BA431" s="4"/>
      <c r="BB431" s="4"/>
      <c r="BC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c r="AP432" s="4"/>
      <c r="AQ432" s="4"/>
      <c r="AR432" s="4"/>
      <c r="AS432" s="4"/>
      <c r="AT432" s="4"/>
      <c r="AU432" s="4"/>
      <c r="AV432" s="4"/>
      <c r="AW432" s="4"/>
      <c r="AX432" s="4"/>
      <c r="AY432" s="4"/>
      <c r="AZ432" s="4"/>
      <c r="BA432" s="4"/>
      <c r="BB432" s="4"/>
      <c r="BC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c r="AP433" s="4"/>
      <c r="AQ433" s="4"/>
      <c r="AR433" s="4"/>
      <c r="AS433" s="4"/>
      <c r="AT433" s="4"/>
      <c r="AU433" s="4"/>
      <c r="AV433" s="4"/>
      <c r="AW433" s="4"/>
      <c r="AX433" s="4"/>
      <c r="AY433" s="4"/>
      <c r="AZ433" s="4"/>
      <c r="BA433" s="4"/>
      <c r="BB433" s="4"/>
      <c r="BC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c r="AP434" s="4"/>
      <c r="AQ434" s="4"/>
      <c r="AR434" s="4"/>
      <c r="AS434" s="4"/>
      <c r="AT434" s="4"/>
      <c r="AU434" s="4"/>
      <c r="AV434" s="4"/>
      <c r="AW434" s="4"/>
      <c r="AX434" s="4"/>
      <c r="AY434" s="4"/>
      <c r="AZ434" s="4"/>
      <c r="BA434" s="4"/>
      <c r="BB434" s="4"/>
      <c r="BC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c r="AP435" s="4"/>
      <c r="AQ435" s="4"/>
      <c r="AR435" s="4"/>
      <c r="AS435" s="4"/>
      <c r="AT435" s="4"/>
      <c r="AU435" s="4"/>
      <c r="AV435" s="4"/>
      <c r="AW435" s="4"/>
      <c r="AX435" s="4"/>
      <c r="AY435" s="4"/>
      <c r="AZ435" s="4"/>
      <c r="BA435" s="4"/>
      <c r="BB435" s="4"/>
      <c r="BC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c r="AP436" s="4"/>
      <c r="AQ436" s="4"/>
      <c r="AR436" s="4"/>
      <c r="AS436" s="4"/>
      <c r="AT436" s="4"/>
      <c r="AU436" s="4"/>
      <c r="AV436" s="4"/>
      <c r="AW436" s="4"/>
      <c r="AX436" s="4"/>
      <c r="AY436" s="4"/>
      <c r="AZ436" s="4"/>
      <c r="BA436" s="4"/>
      <c r="BB436" s="4"/>
      <c r="BC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c r="AP437" s="4"/>
      <c r="AQ437" s="4"/>
      <c r="AR437" s="4"/>
      <c r="AS437" s="4"/>
      <c r="AT437" s="4"/>
      <c r="AU437" s="4"/>
      <c r="AV437" s="4"/>
      <c r="AW437" s="4"/>
      <c r="AX437" s="4"/>
      <c r="AY437" s="4"/>
      <c r="AZ437" s="4"/>
      <c r="BA437" s="4"/>
      <c r="BB437" s="4"/>
      <c r="BC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c r="AP438" s="4"/>
      <c r="AQ438" s="4"/>
      <c r="AR438" s="4"/>
      <c r="AS438" s="4"/>
      <c r="AT438" s="4"/>
      <c r="AU438" s="4"/>
      <c r="AV438" s="4"/>
      <c r="AW438" s="4"/>
      <c r="AX438" s="4"/>
      <c r="AY438" s="4"/>
      <c r="AZ438" s="4"/>
      <c r="BA438" s="4"/>
      <c r="BB438" s="4"/>
      <c r="BC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c r="AP439" s="4"/>
      <c r="AQ439" s="4"/>
      <c r="AR439" s="4"/>
      <c r="AS439" s="4"/>
      <c r="AT439" s="4"/>
      <c r="AU439" s="4"/>
      <c r="AV439" s="4"/>
      <c r="AW439" s="4"/>
      <c r="AX439" s="4"/>
      <c r="AY439" s="4"/>
      <c r="AZ439" s="4"/>
      <c r="BA439" s="4"/>
      <c r="BB439" s="4"/>
      <c r="BC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c r="AP440" s="4"/>
      <c r="AQ440" s="4"/>
      <c r="AR440" s="4"/>
      <c r="AS440" s="4"/>
      <c r="AT440" s="4"/>
      <c r="AU440" s="4"/>
      <c r="AV440" s="4"/>
      <c r="AW440" s="4"/>
      <c r="AX440" s="4"/>
      <c r="AY440" s="4"/>
      <c r="AZ440" s="4"/>
      <c r="BA440" s="4"/>
      <c r="BB440" s="4"/>
      <c r="BC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c r="AP441" s="4"/>
      <c r="AQ441" s="4"/>
      <c r="AR441" s="4"/>
      <c r="AS441" s="4"/>
      <c r="AT441" s="4"/>
      <c r="AU441" s="4"/>
      <c r="AV441" s="4"/>
      <c r="AW441" s="4"/>
      <c r="AX441" s="4"/>
      <c r="AY441" s="4"/>
      <c r="AZ441" s="4"/>
      <c r="BA441" s="4"/>
      <c r="BB441" s="4"/>
      <c r="BC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c r="AP442" s="4"/>
      <c r="AQ442" s="4"/>
      <c r="AR442" s="4"/>
      <c r="AS442" s="4"/>
      <c r="AT442" s="4"/>
      <c r="AU442" s="4"/>
      <c r="AV442" s="4"/>
      <c r="AW442" s="4"/>
      <c r="AX442" s="4"/>
      <c r="AY442" s="4"/>
      <c r="AZ442" s="4"/>
      <c r="BA442" s="4"/>
      <c r="BB442" s="4"/>
      <c r="BC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c r="AP443" s="4"/>
      <c r="AQ443" s="4"/>
      <c r="AR443" s="4"/>
      <c r="AS443" s="4"/>
      <c r="AT443" s="4"/>
      <c r="AU443" s="4"/>
      <c r="AV443" s="4"/>
      <c r="AW443" s="4"/>
      <c r="AX443" s="4"/>
      <c r="AY443" s="4"/>
      <c r="AZ443" s="4"/>
      <c r="BA443" s="4"/>
      <c r="BB443" s="4"/>
      <c r="BC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c r="AP444" s="4"/>
      <c r="AQ444" s="4"/>
      <c r="AR444" s="4"/>
      <c r="AS444" s="4"/>
      <c r="AT444" s="4"/>
      <c r="AU444" s="4"/>
      <c r="AV444" s="4"/>
      <c r="AW444" s="4"/>
      <c r="AX444" s="4"/>
      <c r="AY444" s="4"/>
      <c r="AZ444" s="4"/>
      <c r="BA444" s="4"/>
      <c r="BB444" s="4"/>
      <c r="BC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c r="AP445" s="4"/>
      <c r="AQ445" s="4"/>
      <c r="AR445" s="4"/>
      <c r="AS445" s="4"/>
      <c r="AT445" s="4"/>
      <c r="AU445" s="4"/>
      <c r="AV445" s="4"/>
      <c r="AW445" s="4"/>
      <c r="AX445" s="4"/>
      <c r="AY445" s="4"/>
      <c r="AZ445" s="4"/>
      <c r="BA445" s="4"/>
      <c r="BB445" s="4"/>
      <c r="BC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c r="AP446" s="4"/>
      <c r="AQ446" s="4"/>
      <c r="AR446" s="4"/>
      <c r="AS446" s="4"/>
      <c r="AT446" s="4"/>
      <c r="AU446" s="4"/>
      <c r="AV446" s="4"/>
      <c r="AW446" s="4"/>
      <c r="AX446" s="4"/>
      <c r="AY446" s="4"/>
      <c r="AZ446" s="4"/>
      <c r="BA446" s="4"/>
      <c r="BB446" s="4"/>
      <c r="BC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c r="AP447" s="4"/>
      <c r="AQ447" s="4"/>
      <c r="AR447" s="4"/>
      <c r="AS447" s="4"/>
      <c r="AT447" s="4"/>
      <c r="AU447" s="4"/>
      <c r="AV447" s="4"/>
      <c r="AW447" s="4"/>
      <c r="AX447" s="4"/>
      <c r="AY447" s="4"/>
      <c r="AZ447" s="4"/>
      <c r="BA447" s="4"/>
      <c r="BB447" s="4"/>
      <c r="BC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c r="AP448" s="4"/>
      <c r="AQ448" s="4"/>
      <c r="AR448" s="4"/>
      <c r="AS448" s="4"/>
      <c r="AT448" s="4"/>
      <c r="AU448" s="4"/>
      <c r="AV448" s="4"/>
      <c r="AW448" s="4"/>
      <c r="AX448" s="4"/>
      <c r="AY448" s="4"/>
      <c r="AZ448" s="4"/>
      <c r="BA448" s="4"/>
      <c r="BB448" s="4"/>
      <c r="BC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c r="AP449" s="4"/>
      <c r="AQ449" s="4"/>
      <c r="AR449" s="4"/>
      <c r="AS449" s="4"/>
      <c r="AT449" s="4"/>
      <c r="AU449" s="4"/>
      <c r="AV449" s="4"/>
      <c r="AW449" s="4"/>
      <c r="AX449" s="4"/>
      <c r="AY449" s="4"/>
      <c r="AZ449" s="4"/>
      <c r="BA449" s="4"/>
      <c r="BB449" s="4"/>
      <c r="BC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c r="AP450" s="4"/>
      <c r="AQ450" s="4"/>
      <c r="AR450" s="4"/>
      <c r="AS450" s="4"/>
      <c r="AT450" s="4"/>
      <c r="AU450" s="4"/>
      <c r="AV450" s="4"/>
      <c r="AW450" s="4"/>
      <c r="AX450" s="4"/>
      <c r="AY450" s="4"/>
      <c r="AZ450" s="4"/>
      <c r="BA450" s="4"/>
      <c r="BB450" s="4"/>
      <c r="BC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c r="AP451" s="4"/>
      <c r="AQ451" s="4"/>
      <c r="AR451" s="4"/>
      <c r="AS451" s="4"/>
      <c r="AT451" s="4"/>
      <c r="AU451" s="4"/>
      <c r="AV451" s="4"/>
      <c r="AW451" s="4"/>
      <c r="AX451" s="4"/>
      <c r="AY451" s="4"/>
      <c r="AZ451" s="4"/>
      <c r="BA451" s="4"/>
      <c r="BB451" s="4"/>
      <c r="BC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c r="AP452" s="4"/>
      <c r="AQ452" s="4"/>
      <c r="AR452" s="4"/>
      <c r="AS452" s="4"/>
      <c r="AT452" s="4"/>
      <c r="AU452" s="4"/>
      <c r="AV452" s="4"/>
      <c r="AW452" s="4"/>
      <c r="AX452" s="4"/>
      <c r="AY452" s="4"/>
      <c r="AZ452" s="4"/>
      <c r="BA452" s="4"/>
      <c r="BB452" s="4"/>
      <c r="BC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c r="AP453" s="4"/>
      <c r="AQ453" s="4"/>
      <c r="AR453" s="4"/>
      <c r="AS453" s="4"/>
      <c r="AT453" s="4"/>
      <c r="AU453" s="4"/>
      <c r="AV453" s="4"/>
      <c r="AW453" s="4"/>
      <c r="AX453" s="4"/>
      <c r="AY453" s="4"/>
      <c r="AZ453" s="4"/>
      <c r="BA453" s="4"/>
      <c r="BB453" s="4"/>
      <c r="BC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c r="AP454" s="4"/>
      <c r="AQ454" s="4"/>
      <c r="AR454" s="4"/>
      <c r="AS454" s="4"/>
      <c r="AT454" s="4"/>
      <c r="AU454" s="4"/>
      <c r="AV454" s="4"/>
      <c r="AW454" s="4"/>
      <c r="AX454" s="4"/>
      <c r="AY454" s="4"/>
      <c r="AZ454" s="4"/>
      <c r="BA454" s="4"/>
      <c r="BB454" s="4"/>
      <c r="BC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c r="AP455" s="4"/>
      <c r="AQ455" s="4"/>
      <c r="AR455" s="4"/>
      <c r="AS455" s="4"/>
      <c r="AT455" s="4"/>
      <c r="AU455" s="4"/>
      <c r="AV455" s="4"/>
      <c r="AW455" s="4"/>
      <c r="AX455" s="4"/>
      <c r="AY455" s="4"/>
      <c r="AZ455" s="4"/>
      <c r="BA455" s="4"/>
      <c r="BB455" s="4"/>
      <c r="BC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c r="AP456" s="4"/>
      <c r="AQ456" s="4"/>
      <c r="AR456" s="4"/>
      <c r="AS456" s="4"/>
      <c r="AT456" s="4"/>
      <c r="AU456" s="4"/>
      <c r="AV456" s="4"/>
      <c r="AW456" s="4"/>
      <c r="AX456" s="4"/>
      <c r="AY456" s="4"/>
      <c r="AZ456" s="4"/>
      <c r="BA456" s="4"/>
      <c r="BB456" s="4"/>
      <c r="BC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c r="AP457" s="4"/>
      <c r="AQ457" s="4"/>
      <c r="AR457" s="4"/>
      <c r="AS457" s="4"/>
      <c r="AT457" s="4"/>
      <c r="AU457" s="4"/>
      <c r="AV457" s="4"/>
      <c r="AW457" s="4"/>
      <c r="AX457" s="4"/>
      <c r="AY457" s="4"/>
      <c r="AZ457" s="4"/>
      <c r="BA457" s="4"/>
      <c r="BB457" s="4"/>
      <c r="BC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c r="AP458" s="4"/>
      <c r="AQ458" s="4"/>
      <c r="AR458" s="4"/>
      <c r="AS458" s="4"/>
      <c r="AT458" s="4"/>
      <c r="AU458" s="4"/>
      <c r="AV458" s="4"/>
      <c r="AW458" s="4"/>
      <c r="AX458" s="4"/>
      <c r="AY458" s="4"/>
      <c r="AZ458" s="4"/>
      <c r="BA458" s="4"/>
      <c r="BB458" s="4"/>
      <c r="BC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c r="AP459" s="4"/>
      <c r="AQ459" s="4"/>
      <c r="AR459" s="4"/>
      <c r="AS459" s="4"/>
      <c r="AT459" s="4"/>
      <c r="AU459" s="4"/>
      <c r="AV459" s="4"/>
      <c r="AW459" s="4"/>
      <c r="AX459" s="4"/>
      <c r="AY459" s="4"/>
      <c r="AZ459" s="4"/>
      <c r="BA459" s="4"/>
      <c r="BB459" s="4"/>
      <c r="BC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c r="AP460" s="4"/>
      <c r="AQ460" s="4"/>
      <c r="AR460" s="4"/>
      <c r="AS460" s="4"/>
      <c r="AT460" s="4"/>
      <c r="AU460" s="4"/>
      <c r="AV460" s="4"/>
      <c r="AW460" s="4"/>
      <c r="AX460" s="4"/>
      <c r="AY460" s="4"/>
      <c r="AZ460" s="4"/>
      <c r="BA460" s="4"/>
      <c r="BB460" s="4"/>
      <c r="BC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c r="AP461" s="4"/>
      <c r="AQ461" s="4"/>
      <c r="AR461" s="4"/>
      <c r="AS461" s="4"/>
      <c r="AT461" s="4"/>
      <c r="AU461" s="4"/>
      <c r="AV461" s="4"/>
      <c r="AW461" s="4"/>
      <c r="AX461" s="4"/>
      <c r="AY461" s="4"/>
      <c r="AZ461" s="4"/>
      <c r="BA461" s="4"/>
      <c r="BB461" s="4"/>
      <c r="BC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c r="AP462" s="4"/>
      <c r="AQ462" s="4"/>
      <c r="AR462" s="4"/>
      <c r="AS462" s="4"/>
      <c r="AT462" s="4"/>
      <c r="AU462" s="4"/>
      <c r="AV462" s="4"/>
      <c r="AW462" s="4"/>
      <c r="AX462" s="4"/>
      <c r="AY462" s="4"/>
      <c r="AZ462" s="4"/>
      <c r="BA462" s="4"/>
      <c r="BB462" s="4"/>
      <c r="BC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c r="AP463" s="4"/>
      <c r="AQ463" s="4"/>
      <c r="AR463" s="4"/>
      <c r="AS463" s="4"/>
      <c r="AT463" s="4"/>
      <c r="AU463" s="4"/>
      <c r="AV463" s="4"/>
      <c r="AW463" s="4"/>
      <c r="AX463" s="4"/>
      <c r="AY463" s="4"/>
      <c r="AZ463" s="4"/>
      <c r="BA463" s="4"/>
      <c r="BB463" s="4"/>
      <c r="BC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c r="AP464" s="4"/>
      <c r="AQ464" s="4"/>
      <c r="AR464" s="4"/>
      <c r="AS464" s="4"/>
      <c r="AT464" s="4"/>
      <c r="AU464" s="4"/>
      <c r="AV464" s="4"/>
      <c r="AW464" s="4"/>
      <c r="AX464" s="4"/>
      <c r="AY464" s="4"/>
      <c r="AZ464" s="4"/>
      <c r="BA464" s="4"/>
      <c r="BB464" s="4"/>
      <c r="BC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c r="AP465" s="4"/>
      <c r="AQ465" s="4"/>
      <c r="AR465" s="4"/>
      <c r="AS465" s="4"/>
      <c r="AT465" s="4"/>
      <c r="AU465" s="4"/>
      <c r="AV465" s="4"/>
      <c r="AW465" s="4"/>
      <c r="AX465" s="4"/>
      <c r="AY465" s="4"/>
      <c r="AZ465" s="4"/>
      <c r="BA465" s="4"/>
      <c r="BB465" s="4"/>
      <c r="BC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c r="AP466" s="4"/>
      <c r="AQ466" s="4"/>
      <c r="AR466" s="4"/>
      <c r="AS466" s="4"/>
      <c r="AT466" s="4"/>
      <c r="AU466" s="4"/>
      <c r="AV466" s="4"/>
      <c r="AW466" s="4"/>
      <c r="AX466" s="4"/>
      <c r="AY466" s="4"/>
      <c r="AZ466" s="4"/>
      <c r="BA466" s="4"/>
      <c r="BB466" s="4"/>
      <c r="BC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c r="AP467" s="4"/>
      <c r="AQ467" s="4"/>
      <c r="AR467" s="4"/>
      <c r="AS467" s="4"/>
      <c r="AT467" s="4"/>
      <c r="AU467" s="4"/>
      <c r="AV467" s="4"/>
      <c r="AW467" s="4"/>
      <c r="AX467" s="4"/>
      <c r="AY467" s="4"/>
      <c r="AZ467" s="4"/>
      <c r="BA467" s="4"/>
      <c r="BB467" s="4"/>
      <c r="BC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c r="AP468" s="4"/>
      <c r="AQ468" s="4"/>
      <c r="AR468" s="4"/>
      <c r="AS468" s="4"/>
      <c r="AT468" s="4"/>
      <c r="AU468" s="4"/>
      <c r="AV468" s="4"/>
      <c r="AW468" s="4"/>
      <c r="AX468" s="4"/>
      <c r="AY468" s="4"/>
      <c r="AZ468" s="4"/>
      <c r="BA468" s="4"/>
      <c r="BB468" s="4"/>
      <c r="BC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c r="AP469" s="4"/>
      <c r="AQ469" s="4"/>
      <c r="AR469" s="4"/>
      <c r="AS469" s="4"/>
      <c r="AT469" s="4"/>
      <c r="AU469" s="4"/>
      <c r="AV469" s="4"/>
      <c r="AW469" s="4"/>
      <c r="AX469" s="4"/>
      <c r="AY469" s="4"/>
      <c r="AZ469" s="4"/>
      <c r="BA469" s="4"/>
      <c r="BB469" s="4"/>
      <c r="BC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c r="AP470" s="4"/>
      <c r="AQ470" s="4"/>
      <c r="AR470" s="4"/>
      <c r="AS470" s="4"/>
      <c r="AT470" s="4"/>
      <c r="AU470" s="4"/>
      <c r="AV470" s="4"/>
      <c r="AW470" s="4"/>
      <c r="AX470" s="4"/>
      <c r="AY470" s="4"/>
      <c r="AZ470" s="4"/>
      <c r="BA470" s="4"/>
      <c r="BB470" s="4"/>
      <c r="BC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c r="AP471" s="4"/>
      <c r="AQ471" s="4"/>
      <c r="AR471" s="4"/>
      <c r="AS471" s="4"/>
      <c r="AT471" s="4"/>
      <c r="AU471" s="4"/>
      <c r="AV471" s="4"/>
      <c r="AW471" s="4"/>
      <c r="AX471" s="4"/>
      <c r="AY471" s="4"/>
      <c r="AZ471" s="4"/>
      <c r="BA471" s="4"/>
      <c r="BB471" s="4"/>
      <c r="BC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c r="AP472" s="4"/>
      <c r="AQ472" s="4"/>
      <c r="AR472" s="4"/>
      <c r="AS472" s="4"/>
      <c r="AT472" s="4"/>
      <c r="AU472" s="4"/>
      <c r="AV472" s="4"/>
      <c r="AW472" s="4"/>
      <c r="AX472" s="4"/>
      <c r="AY472" s="4"/>
      <c r="AZ472" s="4"/>
      <c r="BA472" s="4"/>
      <c r="BB472" s="4"/>
      <c r="BC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c r="AP473" s="4"/>
      <c r="AQ473" s="4"/>
      <c r="AR473" s="4"/>
      <c r="AS473" s="4"/>
      <c r="AT473" s="4"/>
      <c r="AU473" s="4"/>
      <c r="AV473" s="4"/>
      <c r="AW473" s="4"/>
      <c r="AX473" s="4"/>
      <c r="AY473" s="4"/>
      <c r="AZ473" s="4"/>
      <c r="BA473" s="4"/>
      <c r="BB473" s="4"/>
      <c r="BC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c r="AP474" s="4"/>
      <c r="AQ474" s="4"/>
      <c r="AR474" s="4"/>
      <c r="AS474" s="4"/>
      <c r="AT474" s="4"/>
      <c r="AU474" s="4"/>
      <c r="AV474" s="4"/>
      <c r="AW474" s="4"/>
      <c r="AX474" s="4"/>
      <c r="AY474" s="4"/>
      <c r="AZ474" s="4"/>
      <c r="BA474" s="4"/>
      <c r="BB474" s="4"/>
      <c r="BC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c r="AP475" s="4"/>
      <c r="AQ475" s="4"/>
      <c r="AR475" s="4"/>
      <c r="AS475" s="4"/>
      <c r="AT475" s="4"/>
      <c r="AU475" s="4"/>
      <c r="AV475" s="4"/>
      <c r="AW475" s="4"/>
      <c r="AX475" s="4"/>
      <c r="AY475" s="4"/>
      <c r="AZ475" s="4"/>
      <c r="BA475" s="4"/>
      <c r="BB475" s="4"/>
      <c r="BC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c r="AP476" s="4"/>
      <c r="AQ476" s="4"/>
      <c r="AR476" s="4"/>
      <c r="AS476" s="4"/>
      <c r="AT476" s="4"/>
      <c r="AU476" s="4"/>
      <c r="AV476" s="4"/>
      <c r="AW476" s="4"/>
      <c r="AX476" s="4"/>
      <c r="AY476" s="4"/>
      <c r="AZ476" s="4"/>
      <c r="BA476" s="4"/>
      <c r="BB476" s="4"/>
      <c r="BC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c r="AP477" s="4"/>
      <c r="AQ477" s="4"/>
      <c r="AR477" s="4"/>
      <c r="AS477" s="4"/>
      <c r="AT477" s="4"/>
      <c r="AU477" s="4"/>
      <c r="AV477" s="4"/>
      <c r="AW477" s="4"/>
      <c r="AX477" s="4"/>
      <c r="AY477" s="4"/>
      <c r="AZ477" s="4"/>
      <c r="BA477" s="4"/>
      <c r="BB477" s="4"/>
      <c r="BC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c r="AP478" s="4"/>
      <c r="AQ478" s="4"/>
      <c r="AR478" s="4"/>
      <c r="AS478" s="4"/>
      <c r="AT478" s="4"/>
      <c r="AU478" s="4"/>
      <c r="AV478" s="4"/>
      <c r="AW478" s="4"/>
      <c r="AX478" s="4"/>
      <c r="AY478" s="4"/>
      <c r="AZ478" s="4"/>
      <c r="BA478" s="4"/>
      <c r="BB478" s="4"/>
      <c r="BC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c r="AP479" s="4"/>
      <c r="AQ479" s="4"/>
      <c r="AR479" s="4"/>
      <c r="AS479" s="4"/>
      <c r="AT479" s="4"/>
      <c r="AU479" s="4"/>
      <c r="AV479" s="4"/>
      <c r="AW479" s="4"/>
      <c r="AX479" s="4"/>
      <c r="AY479" s="4"/>
      <c r="AZ479" s="4"/>
      <c r="BA479" s="4"/>
      <c r="BB479" s="4"/>
      <c r="BC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c r="AP480" s="4"/>
      <c r="AQ480" s="4"/>
      <c r="AR480" s="4"/>
      <c r="AS480" s="4"/>
      <c r="AT480" s="4"/>
      <c r="AU480" s="4"/>
      <c r="AV480" s="4"/>
      <c r="AW480" s="4"/>
      <c r="AX480" s="4"/>
      <c r="AY480" s="4"/>
      <c r="AZ480" s="4"/>
      <c r="BA480" s="4"/>
      <c r="BB480" s="4"/>
      <c r="BC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c r="AP481" s="4"/>
      <c r="AQ481" s="4"/>
      <c r="AR481" s="4"/>
      <c r="AS481" s="4"/>
      <c r="AT481" s="4"/>
      <c r="AU481" s="4"/>
      <c r="AV481" s="4"/>
      <c r="AW481" s="4"/>
      <c r="AX481" s="4"/>
      <c r="AY481" s="4"/>
      <c r="AZ481" s="4"/>
      <c r="BA481" s="4"/>
      <c r="BB481" s="4"/>
      <c r="BC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c r="AP482" s="4"/>
      <c r="AQ482" s="4"/>
      <c r="AR482" s="4"/>
      <c r="AS482" s="4"/>
      <c r="AT482" s="4"/>
      <c r="AU482" s="4"/>
      <c r="AV482" s="4"/>
      <c r="AW482" s="4"/>
      <c r="AX482" s="4"/>
      <c r="AY482" s="4"/>
      <c r="AZ482" s="4"/>
      <c r="BA482" s="4"/>
      <c r="BB482" s="4"/>
      <c r="BC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c r="AP483" s="4"/>
      <c r="AQ483" s="4"/>
      <c r="AR483" s="4"/>
      <c r="AS483" s="4"/>
      <c r="AT483" s="4"/>
      <c r="AU483" s="4"/>
      <c r="AV483" s="4"/>
      <c r="AW483" s="4"/>
      <c r="AX483" s="4"/>
      <c r="AY483" s="4"/>
      <c r="AZ483" s="4"/>
      <c r="BA483" s="4"/>
      <c r="BB483" s="4"/>
      <c r="BC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c r="AP484" s="4"/>
      <c r="AQ484" s="4"/>
      <c r="AR484" s="4"/>
      <c r="AS484" s="4"/>
      <c r="AT484" s="4"/>
      <c r="AU484" s="4"/>
      <c r="AV484" s="4"/>
      <c r="AW484" s="4"/>
      <c r="AX484" s="4"/>
      <c r="AY484" s="4"/>
      <c r="AZ484" s="4"/>
      <c r="BA484" s="4"/>
      <c r="BB484" s="4"/>
      <c r="BC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c r="AP485" s="4"/>
      <c r="AQ485" s="4"/>
      <c r="AR485" s="4"/>
      <c r="AS485" s="4"/>
      <c r="AT485" s="4"/>
      <c r="AU485" s="4"/>
      <c r="AV485" s="4"/>
      <c r="AW485" s="4"/>
      <c r="AX485" s="4"/>
      <c r="AY485" s="4"/>
      <c r="AZ485" s="4"/>
      <c r="BA485" s="4"/>
      <c r="BB485" s="4"/>
      <c r="BC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c r="AP486" s="4"/>
      <c r="AQ486" s="4"/>
      <c r="AR486" s="4"/>
      <c r="AS486" s="4"/>
      <c r="AT486" s="4"/>
      <c r="AU486" s="4"/>
      <c r="AV486" s="4"/>
      <c r="AW486" s="4"/>
      <c r="AX486" s="4"/>
      <c r="AY486" s="4"/>
      <c r="AZ486" s="4"/>
      <c r="BA486" s="4"/>
      <c r="BB486" s="4"/>
      <c r="BC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c r="AP487" s="4"/>
      <c r="AQ487" s="4"/>
      <c r="AR487" s="4"/>
      <c r="AS487" s="4"/>
      <c r="AT487" s="4"/>
      <c r="AU487" s="4"/>
      <c r="AV487" s="4"/>
      <c r="AW487" s="4"/>
      <c r="AX487" s="4"/>
      <c r="AY487" s="4"/>
      <c r="AZ487" s="4"/>
      <c r="BA487" s="4"/>
      <c r="BB487" s="4"/>
      <c r="BC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c r="AP488" s="4"/>
      <c r="AQ488" s="4"/>
      <c r="AR488" s="4"/>
      <c r="AS488" s="4"/>
      <c r="AT488" s="4"/>
      <c r="AU488" s="4"/>
      <c r="AV488" s="4"/>
      <c r="AW488" s="4"/>
      <c r="AX488" s="4"/>
      <c r="AY488" s="4"/>
      <c r="AZ488" s="4"/>
      <c r="BA488" s="4"/>
      <c r="BB488" s="4"/>
      <c r="BC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c r="AP489" s="4"/>
      <c r="AQ489" s="4"/>
      <c r="AR489" s="4"/>
      <c r="AS489" s="4"/>
      <c r="AT489" s="4"/>
      <c r="AU489" s="4"/>
      <c r="AV489" s="4"/>
      <c r="AW489" s="4"/>
      <c r="AX489" s="4"/>
      <c r="AY489" s="4"/>
      <c r="AZ489" s="4"/>
      <c r="BA489" s="4"/>
      <c r="BB489" s="4"/>
      <c r="BC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c r="AP490" s="4"/>
      <c r="AQ490" s="4"/>
      <c r="AR490" s="4"/>
      <c r="AS490" s="4"/>
      <c r="AT490" s="4"/>
      <c r="AU490" s="4"/>
      <c r="AV490" s="4"/>
      <c r="AW490" s="4"/>
      <c r="AX490" s="4"/>
      <c r="AY490" s="4"/>
      <c r="AZ490" s="4"/>
      <c r="BA490" s="4"/>
      <c r="BB490" s="4"/>
      <c r="BC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c r="AP491" s="4"/>
      <c r="AQ491" s="4"/>
      <c r="AR491" s="4"/>
      <c r="AS491" s="4"/>
      <c r="AT491" s="4"/>
      <c r="AU491" s="4"/>
      <c r="AV491" s="4"/>
      <c r="AW491" s="4"/>
      <c r="AX491" s="4"/>
      <c r="AY491" s="4"/>
      <c r="AZ491" s="4"/>
      <c r="BA491" s="4"/>
      <c r="BB491" s="4"/>
      <c r="BC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c r="AP492" s="4"/>
      <c r="AQ492" s="4"/>
      <c r="AR492" s="4"/>
      <c r="AS492" s="4"/>
      <c r="AT492" s="4"/>
      <c r="AU492" s="4"/>
      <c r="AV492" s="4"/>
      <c r="AW492" s="4"/>
      <c r="AX492" s="4"/>
      <c r="AY492" s="4"/>
      <c r="AZ492" s="4"/>
      <c r="BA492" s="4"/>
      <c r="BB492" s="4"/>
      <c r="BC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c r="AP493" s="4"/>
      <c r="AQ493" s="4"/>
      <c r="AR493" s="4"/>
      <c r="AS493" s="4"/>
      <c r="AT493" s="4"/>
      <c r="AU493" s="4"/>
      <c r="AV493" s="4"/>
      <c r="AW493" s="4"/>
      <c r="AX493" s="4"/>
      <c r="AY493" s="4"/>
      <c r="AZ493" s="4"/>
      <c r="BA493" s="4"/>
      <c r="BB493" s="4"/>
      <c r="BC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c r="AP494" s="4"/>
      <c r="AQ494" s="4"/>
      <c r="AR494" s="4"/>
      <c r="AS494" s="4"/>
      <c r="AT494" s="4"/>
      <c r="AU494" s="4"/>
      <c r="AV494" s="4"/>
      <c r="AW494" s="4"/>
      <c r="AX494" s="4"/>
      <c r="AY494" s="4"/>
      <c r="AZ494" s="4"/>
      <c r="BA494" s="4"/>
      <c r="BB494" s="4"/>
      <c r="BC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c r="AP495" s="4"/>
      <c r="AQ495" s="4"/>
      <c r="AR495" s="4"/>
      <c r="AS495" s="4"/>
      <c r="AT495" s="4"/>
      <c r="AU495" s="4"/>
      <c r="AV495" s="4"/>
      <c r="AW495" s="4"/>
      <c r="AX495" s="4"/>
      <c r="AY495" s="4"/>
      <c r="AZ495" s="4"/>
      <c r="BA495" s="4"/>
      <c r="BB495" s="4"/>
      <c r="BC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c r="AP496" s="4"/>
      <c r="AQ496" s="4"/>
      <c r="AR496" s="4"/>
      <c r="AS496" s="4"/>
      <c r="AT496" s="4"/>
      <c r="AU496" s="4"/>
      <c r="AV496" s="4"/>
      <c r="AW496" s="4"/>
      <c r="AX496" s="4"/>
      <c r="AY496" s="4"/>
      <c r="AZ496" s="4"/>
      <c r="BA496" s="4"/>
      <c r="BB496" s="4"/>
      <c r="BC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c r="AP497" s="4"/>
      <c r="AQ497" s="4"/>
      <c r="AR497" s="4"/>
      <c r="AS497" s="4"/>
      <c r="AT497" s="4"/>
      <c r="AU497" s="4"/>
      <c r="AV497" s="4"/>
      <c r="AW497" s="4"/>
      <c r="AX497" s="4"/>
      <c r="AY497" s="4"/>
      <c r="AZ497" s="4"/>
      <c r="BA497" s="4"/>
      <c r="BB497" s="4"/>
      <c r="BC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c r="AP498" s="4"/>
      <c r="AQ498" s="4"/>
      <c r="AR498" s="4"/>
      <c r="AS498" s="4"/>
      <c r="AT498" s="4"/>
      <c r="AU498" s="4"/>
      <c r="AV498" s="4"/>
      <c r="AW498" s="4"/>
      <c r="AX498" s="4"/>
      <c r="AY498" s="4"/>
      <c r="AZ498" s="4"/>
      <c r="BA498" s="4"/>
      <c r="BB498" s="4"/>
      <c r="BC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c r="AP499" s="4"/>
      <c r="AQ499" s="4"/>
      <c r="AR499" s="4"/>
      <c r="AS499" s="4"/>
      <c r="AT499" s="4"/>
      <c r="AU499" s="4"/>
      <c r="AV499" s="4"/>
      <c r="AW499" s="4"/>
      <c r="AX499" s="4"/>
      <c r="AY499" s="4"/>
      <c r="AZ499" s="4"/>
      <c r="BA499" s="4"/>
      <c r="BB499" s="4"/>
      <c r="BC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c r="AP500" s="4"/>
      <c r="AQ500" s="4"/>
      <c r="AR500" s="4"/>
      <c r="AS500" s="4"/>
      <c r="AT500" s="4"/>
      <c r="AU500" s="4"/>
      <c r="AV500" s="4"/>
      <c r="AW500" s="4"/>
      <c r="AX500" s="4"/>
      <c r="AY500" s="4"/>
      <c r="AZ500" s="4"/>
      <c r="BA500" s="4"/>
      <c r="BB500" s="4"/>
      <c r="BC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c r="AP501" s="4"/>
      <c r="AQ501" s="4"/>
      <c r="AR501" s="4"/>
      <c r="AS501" s="4"/>
      <c r="AT501" s="4"/>
      <c r="AU501" s="4"/>
      <c r="AV501" s="4"/>
      <c r="AW501" s="4"/>
      <c r="AX501" s="4"/>
      <c r="AY501" s="4"/>
      <c r="AZ501" s="4"/>
      <c r="BA501" s="4"/>
      <c r="BB501" s="4"/>
      <c r="BC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c r="AP502" s="4"/>
      <c r="AQ502" s="4"/>
      <c r="AR502" s="4"/>
      <c r="AS502" s="4"/>
      <c r="AT502" s="4"/>
      <c r="AU502" s="4"/>
      <c r="AV502" s="4"/>
      <c r="AW502" s="4"/>
      <c r="AX502" s="4"/>
      <c r="AY502" s="4"/>
      <c r="AZ502" s="4"/>
      <c r="BA502" s="4"/>
      <c r="BB502" s="4"/>
      <c r="BC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c r="AP503" s="4"/>
      <c r="AQ503" s="4"/>
      <c r="AR503" s="4"/>
      <c r="AS503" s="4"/>
      <c r="AT503" s="4"/>
      <c r="AU503" s="4"/>
      <c r="AV503" s="4"/>
      <c r="AW503" s="4"/>
      <c r="AX503" s="4"/>
      <c r="AY503" s="4"/>
      <c r="AZ503" s="4"/>
      <c r="BA503" s="4"/>
      <c r="BB503" s="4"/>
      <c r="BC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c r="AP504" s="4"/>
      <c r="AQ504" s="4"/>
      <c r="AR504" s="4"/>
      <c r="AS504" s="4"/>
      <c r="AT504" s="4"/>
      <c r="AU504" s="4"/>
      <c r="AV504" s="4"/>
      <c r="AW504" s="4"/>
      <c r="AX504" s="4"/>
      <c r="AY504" s="4"/>
      <c r="AZ504" s="4"/>
      <c r="BA504" s="4"/>
      <c r="BB504" s="4"/>
      <c r="BC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c r="AP505" s="4"/>
      <c r="AQ505" s="4"/>
      <c r="AR505" s="4"/>
      <c r="AS505" s="4"/>
      <c r="AT505" s="4"/>
      <c r="AU505" s="4"/>
      <c r="AV505" s="4"/>
      <c r="AW505" s="4"/>
      <c r="AX505" s="4"/>
      <c r="AY505" s="4"/>
      <c r="AZ505" s="4"/>
      <c r="BA505" s="4"/>
      <c r="BB505" s="4"/>
      <c r="BC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c r="AP506" s="4"/>
      <c r="AQ506" s="4"/>
      <c r="AR506" s="4"/>
      <c r="AS506" s="4"/>
      <c r="AT506" s="4"/>
      <c r="AU506" s="4"/>
      <c r="AV506" s="4"/>
      <c r="AW506" s="4"/>
      <c r="AX506" s="4"/>
      <c r="AY506" s="4"/>
      <c r="AZ506" s="4"/>
      <c r="BA506" s="4"/>
      <c r="BB506" s="4"/>
      <c r="BC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c r="AP507" s="4"/>
      <c r="AQ507" s="4"/>
      <c r="AR507" s="4"/>
      <c r="AS507" s="4"/>
      <c r="AT507" s="4"/>
      <c r="AU507" s="4"/>
      <c r="AV507" s="4"/>
      <c r="AW507" s="4"/>
      <c r="AX507" s="4"/>
      <c r="AY507" s="4"/>
      <c r="AZ507" s="4"/>
      <c r="BA507" s="4"/>
      <c r="BB507" s="4"/>
      <c r="BC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c r="AP508" s="4"/>
      <c r="AQ508" s="4"/>
      <c r="AR508" s="4"/>
      <c r="AS508" s="4"/>
      <c r="AT508" s="4"/>
      <c r="AU508" s="4"/>
      <c r="AV508" s="4"/>
      <c r="AW508" s="4"/>
      <c r="AX508" s="4"/>
      <c r="AY508" s="4"/>
      <c r="AZ508" s="4"/>
      <c r="BA508" s="4"/>
      <c r="BB508" s="4"/>
      <c r="BC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c r="AP509" s="4"/>
      <c r="AQ509" s="4"/>
      <c r="AR509" s="4"/>
      <c r="AS509" s="4"/>
      <c r="AT509" s="4"/>
      <c r="AU509" s="4"/>
      <c r="AV509" s="4"/>
      <c r="AW509" s="4"/>
      <c r="AX509" s="4"/>
      <c r="AY509" s="4"/>
      <c r="AZ509" s="4"/>
      <c r="BA509" s="4"/>
      <c r="BB509" s="4"/>
      <c r="BC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c r="AP510" s="4"/>
      <c r="AQ510" s="4"/>
      <c r="AR510" s="4"/>
      <c r="AS510" s="4"/>
      <c r="AT510" s="4"/>
      <c r="AU510" s="4"/>
      <c r="AV510" s="4"/>
      <c r="AW510" s="4"/>
      <c r="AX510" s="4"/>
      <c r="AY510" s="4"/>
      <c r="AZ510" s="4"/>
      <c r="BA510" s="4"/>
      <c r="BB510" s="4"/>
      <c r="BC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c r="AP511" s="4"/>
      <c r="AQ511" s="4"/>
      <c r="AR511" s="4"/>
      <c r="AS511" s="4"/>
      <c r="AT511" s="4"/>
      <c r="AU511" s="4"/>
      <c r="AV511" s="4"/>
      <c r="AW511" s="4"/>
      <c r="AX511" s="4"/>
      <c r="AY511" s="4"/>
      <c r="AZ511" s="4"/>
      <c r="BA511" s="4"/>
      <c r="BB511" s="4"/>
      <c r="BC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c r="AP512" s="4"/>
      <c r="AQ512" s="4"/>
      <c r="AR512" s="4"/>
      <c r="AS512" s="4"/>
      <c r="AT512" s="4"/>
      <c r="AU512" s="4"/>
      <c r="AV512" s="4"/>
      <c r="AW512" s="4"/>
      <c r="AX512" s="4"/>
      <c r="AY512" s="4"/>
      <c r="AZ512" s="4"/>
      <c r="BA512" s="4"/>
      <c r="BB512" s="4"/>
      <c r="BC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c r="AP513" s="4"/>
      <c r="AQ513" s="4"/>
      <c r="AR513" s="4"/>
      <c r="AS513" s="4"/>
      <c r="AT513" s="4"/>
      <c r="AU513" s="4"/>
      <c r="AV513" s="4"/>
      <c r="AW513" s="4"/>
      <c r="AX513" s="4"/>
      <c r="AY513" s="4"/>
      <c r="AZ513" s="4"/>
      <c r="BA513" s="4"/>
      <c r="BB513" s="4"/>
      <c r="BC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c r="AP514" s="4"/>
      <c r="AQ514" s="4"/>
      <c r="AR514" s="4"/>
      <c r="AS514" s="4"/>
      <c r="AT514" s="4"/>
      <c r="AU514" s="4"/>
      <c r="AV514" s="4"/>
      <c r="AW514" s="4"/>
      <c r="AX514" s="4"/>
      <c r="AY514" s="4"/>
      <c r="AZ514" s="4"/>
      <c r="BA514" s="4"/>
      <c r="BB514" s="4"/>
      <c r="BC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c r="AP515" s="4"/>
      <c r="AQ515" s="4"/>
      <c r="AR515" s="4"/>
      <c r="AS515" s="4"/>
      <c r="AT515" s="4"/>
      <c r="AU515" s="4"/>
      <c r="AV515" s="4"/>
      <c r="AW515" s="4"/>
      <c r="AX515" s="4"/>
      <c r="AY515" s="4"/>
      <c r="AZ515" s="4"/>
      <c r="BA515" s="4"/>
      <c r="BB515" s="4"/>
      <c r="BC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c r="AP516" s="4"/>
      <c r="AQ516" s="4"/>
      <c r="AR516" s="4"/>
      <c r="AS516" s="4"/>
      <c r="AT516" s="4"/>
      <c r="AU516" s="4"/>
      <c r="AV516" s="4"/>
      <c r="AW516" s="4"/>
      <c r="AX516" s="4"/>
      <c r="AY516" s="4"/>
      <c r="AZ516" s="4"/>
      <c r="BA516" s="4"/>
      <c r="BB516" s="4"/>
      <c r="BC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c r="AP517" s="4"/>
      <c r="AQ517" s="4"/>
      <c r="AR517" s="4"/>
      <c r="AS517" s="4"/>
      <c r="AT517" s="4"/>
      <c r="AU517" s="4"/>
      <c r="AV517" s="4"/>
      <c r="AW517" s="4"/>
      <c r="AX517" s="4"/>
      <c r="AY517" s="4"/>
      <c r="AZ517" s="4"/>
      <c r="BA517" s="4"/>
      <c r="BB517" s="4"/>
      <c r="BC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c r="AP518" s="4"/>
      <c r="AQ518" s="4"/>
      <c r="AR518" s="4"/>
      <c r="AS518" s="4"/>
      <c r="AT518" s="4"/>
      <c r="AU518" s="4"/>
      <c r="AV518" s="4"/>
      <c r="AW518" s="4"/>
      <c r="AX518" s="4"/>
      <c r="AY518" s="4"/>
      <c r="AZ518" s="4"/>
      <c r="BA518" s="4"/>
      <c r="BB518" s="4"/>
      <c r="BC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c r="AP519" s="4"/>
      <c r="AQ519" s="4"/>
      <c r="AR519" s="4"/>
      <c r="AS519" s="4"/>
      <c r="AT519" s="4"/>
      <c r="AU519" s="4"/>
      <c r="AV519" s="4"/>
      <c r="AW519" s="4"/>
      <c r="AX519" s="4"/>
      <c r="AY519" s="4"/>
      <c r="AZ519" s="4"/>
      <c r="BA519" s="4"/>
      <c r="BB519" s="4"/>
      <c r="BC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c r="AP520" s="4"/>
      <c r="AQ520" s="4"/>
      <c r="AR520" s="4"/>
      <c r="AS520" s="4"/>
      <c r="AT520" s="4"/>
      <c r="AU520" s="4"/>
      <c r="AV520" s="4"/>
      <c r="AW520" s="4"/>
      <c r="AX520" s="4"/>
      <c r="AY520" s="4"/>
      <c r="AZ520" s="4"/>
      <c r="BA520" s="4"/>
      <c r="BB520" s="4"/>
      <c r="BC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c r="AP521" s="4"/>
      <c r="AQ521" s="4"/>
      <c r="AR521" s="4"/>
      <c r="AS521" s="4"/>
      <c r="AT521" s="4"/>
      <c r="AU521" s="4"/>
      <c r="AV521" s="4"/>
      <c r="AW521" s="4"/>
      <c r="AX521" s="4"/>
      <c r="AY521" s="4"/>
      <c r="AZ521" s="4"/>
      <c r="BA521" s="4"/>
      <c r="BB521" s="4"/>
      <c r="BC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c r="AP522" s="4"/>
      <c r="AQ522" s="4"/>
      <c r="AR522" s="4"/>
      <c r="AS522" s="4"/>
      <c r="AT522" s="4"/>
      <c r="AU522" s="4"/>
      <c r="AV522" s="4"/>
      <c r="AW522" s="4"/>
      <c r="AX522" s="4"/>
      <c r="AY522" s="4"/>
      <c r="AZ522" s="4"/>
      <c r="BA522" s="4"/>
      <c r="BB522" s="4"/>
      <c r="BC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c r="AP523" s="4"/>
      <c r="AQ523" s="4"/>
      <c r="AR523" s="4"/>
      <c r="AS523" s="4"/>
      <c r="AT523" s="4"/>
      <c r="AU523" s="4"/>
      <c r="AV523" s="4"/>
      <c r="AW523" s="4"/>
      <c r="AX523" s="4"/>
      <c r="AY523" s="4"/>
      <c r="AZ523" s="4"/>
      <c r="BA523" s="4"/>
      <c r="BB523" s="4"/>
      <c r="BC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c r="AP524" s="4"/>
      <c r="AQ524" s="4"/>
      <c r="AR524" s="4"/>
      <c r="AS524" s="4"/>
      <c r="AT524" s="4"/>
      <c r="AU524" s="4"/>
      <c r="AV524" s="4"/>
      <c r="AW524" s="4"/>
      <c r="AX524" s="4"/>
      <c r="AY524" s="4"/>
      <c r="AZ524" s="4"/>
      <c r="BA524" s="4"/>
      <c r="BB524" s="4"/>
      <c r="BC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c r="AP525" s="4"/>
      <c r="AQ525" s="4"/>
      <c r="AR525" s="4"/>
      <c r="AS525" s="4"/>
      <c r="AT525" s="4"/>
      <c r="AU525" s="4"/>
      <c r="AV525" s="4"/>
      <c r="AW525" s="4"/>
      <c r="AX525" s="4"/>
      <c r="AY525" s="4"/>
      <c r="AZ525" s="4"/>
      <c r="BA525" s="4"/>
      <c r="BB525" s="4"/>
      <c r="BC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c r="AP526" s="4"/>
      <c r="AQ526" s="4"/>
      <c r="AR526" s="4"/>
      <c r="AS526" s="4"/>
      <c r="AT526" s="4"/>
      <c r="AU526" s="4"/>
      <c r="AV526" s="4"/>
      <c r="AW526" s="4"/>
      <c r="AX526" s="4"/>
      <c r="AY526" s="4"/>
      <c r="AZ526" s="4"/>
      <c r="BA526" s="4"/>
      <c r="BB526" s="4"/>
      <c r="BC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c r="AP527" s="4"/>
      <c r="AQ527" s="4"/>
      <c r="AR527" s="4"/>
      <c r="AS527" s="4"/>
      <c r="AT527" s="4"/>
      <c r="AU527" s="4"/>
      <c r="AV527" s="4"/>
      <c r="AW527" s="4"/>
      <c r="AX527" s="4"/>
      <c r="AY527" s="4"/>
      <c r="AZ527" s="4"/>
      <c r="BA527" s="4"/>
      <c r="BB527" s="4"/>
      <c r="BC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c r="AP528" s="4"/>
      <c r="AQ528" s="4"/>
      <c r="AR528" s="4"/>
      <c r="AS528" s="4"/>
      <c r="AT528" s="4"/>
      <c r="AU528" s="4"/>
      <c r="AV528" s="4"/>
      <c r="AW528" s="4"/>
      <c r="AX528" s="4"/>
      <c r="AY528" s="4"/>
      <c r="AZ528" s="4"/>
      <c r="BA528" s="4"/>
      <c r="BB528" s="4"/>
      <c r="BC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c r="AP529" s="4"/>
      <c r="AQ529" s="4"/>
      <c r="AR529" s="4"/>
      <c r="AS529" s="4"/>
      <c r="AT529" s="4"/>
      <c r="AU529" s="4"/>
      <c r="AV529" s="4"/>
      <c r="AW529" s="4"/>
      <c r="AX529" s="4"/>
      <c r="AY529" s="4"/>
      <c r="AZ529" s="4"/>
      <c r="BA529" s="4"/>
      <c r="BB529" s="4"/>
      <c r="BC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c r="AP530" s="4"/>
      <c r="AQ530" s="4"/>
      <c r="AR530" s="4"/>
      <c r="AS530" s="4"/>
      <c r="AT530" s="4"/>
      <c r="AU530" s="4"/>
      <c r="AV530" s="4"/>
      <c r="AW530" s="4"/>
      <c r="AX530" s="4"/>
      <c r="AY530" s="4"/>
      <c r="AZ530" s="4"/>
      <c r="BA530" s="4"/>
      <c r="BB530" s="4"/>
      <c r="BC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c r="AP531" s="4"/>
      <c r="AQ531" s="4"/>
      <c r="AR531" s="4"/>
      <c r="AS531" s="4"/>
      <c r="AT531" s="4"/>
      <c r="AU531" s="4"/>
      <c r="AV531" s="4"/>
      <c r="AW531" s="4"/>
      <c r="AX531" s="4"/>
      <c r="AY531" s="4"/>
      <c r="AZ531" s="4"/>
      <c r="BA531" s="4"/>
      <c r="BB531" s="4"/>
      <c r="BC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c r="AP532" s="4"/>
      <c r="AQ532" s="4"/>
      <c r="AR532" s="4"/>
      <c r="AS532" s="4"/>
      <c r="AT532" s="4"/>
      <c r="AU532" s="4"/>
      <c r="AV532" s="4"/>
      <c r="AW532" s="4"/>
      <c r="AX532" s="4"/>
      <c r="AY532" s="4"/>
      <c r="AZ532" s="4"/>
      <c r="BA532" s="4"/>
      <c r="BB532" s="4"/>
      <c r="BC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c r="AP533" s="4"/>
      <c r="AQ533" s="4"/>
      <c r="AR533" s="4"/>
      <c r="AS533" s="4"/>
      <c r="AT533" s="4"/>
      <c r="AU533" s="4"/>
      <c r="AV533" s="4"/>
      <c r="AW533" s="4"/>
      <c r="AX533" s="4"/>
      <c r="AY533" s="4"/>
      <c r="AZ533" s="4"/>
      <c r="BA533" s="4"/>
      <c r="BB533" s="4"/>
      <c r="BC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c r="AP534" s="4"/>
      <c r="AQ534" s="4"/>
      <c r="AR534" s="4"/>
      <c r="AS534" s="4"/>
      <c r="AT534" s="4"/>
      <c r="AU534" s="4"/>
      <c r="AV534" s="4"/>
      <c r="AW534" s="4"/>
      <c r="AX534" s="4"/>
      <c r="AY534" s="4"/>
      <c r="AZ534" s="4"/>
      <c r="BA534" s="4"/>
      <c r="BB534" s="4"/>
      <c r="BC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c r="AP535" s="4"/>
      <c r="AQ535" s="4"/>
      <c r="AR535" s="4"/>
      <c r="AS535" s="4"/>
      <c r="AT535" s="4"/>
      <c r="AU535" s="4"/>
      <c r="AV535" s="4"/>
      <c r="AW535" s="4"/>
      <c r="AX535" s="4"/>
      <c r="AY535" s="4"/>
      <c r="AZ535" s="4"/>
      <c r="BA535" s="4"/>
      <c r="BB535" s="4"/>
      <c r="BC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c r="AP536" s="4"/>
      <c r="AQ536" s="4"/>
      <c r="AR536" s="4"/>
      <c r="AS536" s="4"/>
      <c r="AT536" s="4"/>
      <c r="AU536" s="4"/>
      <c r="AV536" s="4"/>
      <c r="AW536" s="4"/>
      <c r="AX536" s="4"/>
      <c r="AY536" s="4"/>
      <c r="AZ536" s="4"/>
      <c r="BA536" s="4"/>
      <c r="BB536" s="4"/>
      <c r="BC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c r="AP537" s="4"/>
      <c r="AQ537" s="4"/>
      <c r="AR537" s="4"/>
      <c r="AS537" s="4"/>
      <c r="AT537" s="4"/>
      <c r="AU537" s="4"/>
      <c r="AV537" s="4"/>
      <c r="AW537" s="4"/>
      <c r="AX537" s="4"/>
      <c r="AY537" s="4"/>
      <c r="AZ537" s="4"/>
      <c r="BA537" s="4"/>
      <c r="BB537" s="4"/>
      <c r="BC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c r="AP538" s="4"/>
      <c r="AQ538" s="4"/>
      <c r="AR538" s="4"/>
      <c r="AS538" s="4"/>
      <c r="AT538" s="4"/>
      <c r="AU538" s="4"/>
      <c r="AV538" s="4"/>
      <c r="AW538" s="4"/>
      <c r="AX538" s="4"/>
      <c r="AY538" s="4"/>
      <c r="AZ538" s="4"/>
      <c r="BA538" s="4"/>
      <c r="BB538" s="4"/>
      <c r="BC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c r="AP539" s="4"/>
      <c r="AQ539" s="4"/>
      <c r="AR539" s="4"/>
      <c r="AS539" s="4"/>
      <c r="AT539" s="4"/>
      <c r="AU539" s="4"/>
      <c r="AV539" s="4"/>
      <c r="AW539" s="4"/>
      <c r="AX539" s="4"/>
      <c r="AY539" s="4"/>
      <c r="AZ539" s="4"/>
      <c r="BA539" s="4"/>
      <c r="BB539" s="4"/>
      <c r="BC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c r="AP540" s="4"/>
      <c r="AQ540" s="4"/>
      <c r="AR540" s="4"/>
      <c r="AS540" s="4"/>
      <c r="AT540" s="4"/>
      <c r="AU540" s="4"/>
      <c r="AV540" s="4"/>
      <c r="AW540" s="4"/>
      <c r="AX540" s="4"/>
      <c r="AY540" s="4"/>
      <c r="AZ540" s="4"/>
      <c r="BA540" s="4"/>
      <c r="BB540" s="4"/>
      <c r="BC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c r="AP541" s="4"/>
      <c r="AQ541" s="4"/>
      <c r="AR541" s="4"/>
      <c r="AS541" s="4"/>
      <c r="AT541" s="4"/>
      <c r="AU541" s="4"/>
      <c r="AV541" s="4"/>
      <c r="AW541" s="4"/>
      <c r="AX541" s="4"/>
      <c r="AY541" s="4"/>
      <c r="AZ541" s="4"/>
      <c r="BA541" s="4"/>
      <c r="BB541" s="4"/>
      <c r="BC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c r="AP542" s="4"/>
      <c r="AQ542" s="4"/>
      <c r="AR542" s="4"/>
      <c r="AS542" s="4"/>
      <c r="AT542" s="4"/>
      <c r="AU542" s="4"/>
      <c r="AV542" s="4"/>
      <c r="AW542" s="4"/>
      <c r="AX542" s="4"/>
      <c r="AY542" s="4"/>
      <c r="AZ542" s="4"/>
      <c r="BA542" s="4"/>
      <c r="BB542" s="4"/>
      <c r="BC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c r="AP543" s="4"/>
      <c r="AQ543" s="4"/>
      <c r="AR543" s="4"/>
      <c r="AS543" s="4"/>
      <c r="AT543" s="4"/>
      <c r="AU543" s="4"/>
      <c r="AV543" s="4"/>
      <c r="AW543" s="4"/>
      <c r="AX543" s="4"/>
      <c r="AY543" s="4"/>
      <c r="AZ543" s="4"/>
      <c r="BA543" s="4"/>
      <c r="BB543" s="4"/>
      <c r="BC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c r="AP544" s="4"/>
      <c r="AQ544" s="4"/>
      <c r="AR544" s="4"/>
      <c r="AS544" s="4"/>
      <c r="AT544" s="4"/>
      <c r="AU544" s="4"/>
      <c r="AV544" s="4"/>
      <c r="AW544" s="4"/>
      <c r="AX544" s="4"/>
      <c r="AY544" s="4"/>
      <c r="AZ544" s="4"/>
      <c r="BA544" s="4"/>
      <c r="BB544" s="4"/>
      <c r="BC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c r="AP545" s="4"/>
      <c r="AQ545" s="4"/>
      <c r="AR545" s="4"/>
      <c r="AS545" s="4"/>
      <c r="AT545" s="4"/>
      <c r="AU545" s="4"/>
      <c r="AV545" s="4"/>
      <c r="AW545" s="4"/>
      <c r="AX545" s="4"/>
      <c r="AY545" s="4"/>
      <c r="AZ545" s="4"/>
      <c r="BA545" s="4"/>
      <c r="BB545" s="4"/>
      <c r="BC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c r="AP546" s="4"/>
      <c r="AQ546" s="4"/>
      <c r="AR546" s="4"/>
      <c r="AS546" s="4"/>
      <c r="AT546" s="4"/>
      <c r="AU546" s="4"/>
      <c r="AV546" s="4"/>
      <c r="AW546" s="4"/>
      <c r="AX546" s="4"/>
      <c r="AY546" s="4"/>
      <c r="AZ546" s="4"/>
      <c r="BA546" s="4"/>
      <c r="BB546" s="4"/>
      <c r="BC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c r="AP547" s="4"/>
      <c r="AQ547" s="4"/>
      <c r="AR547" s="4"/>
      <c r="AS547" s="4"/>
      <c r="AT547" s="4"/>
      <c r="AU547" s="4"/>
      <c r="AV547" s="4"/>
      <c r="AW547" s="4"/>
      <c r="AX547" s="4"/>
      <c r="AY547" s="4"/>
      <c r="AZ547" s="4"/>
      <c r="BA547" s="4"/>
      <c r="BB547" s="4"/>
      <c r="BC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c r="AP548" s="4"/>
      <c r="AQ548" s="4"/>
      <c r="AR548" s="4"/>
      <c r="AS548" s="4"/>
      <c r="AT548" s="4"/>
      <c r="AU548" s="4"/>
      <c r="AV548" s="4"/>
      <c r="AW548" s="4"/>
      <c r="AX548" s="4"/>
      <c r="AY548" s="4"/>
      <c r="AZ548" s="4"/>
      <c r="BA548" s="4"/>
      <c r="BB548" s="4"/>
      <c r="BC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c r="AP549" s="4"/>
      <c r="AQ549" s="4"/>
      <c r="AR549" s="4"/>
      <c r="AS549" s="4"/>
      <c r="AT549" s="4"/>
      <c r="AU549" s="4"/>
      <c r="AV549" s="4"/>
      <c r="AW549" s="4"/>
      <c r="AX549" s="4"/>
      <c r="AY549" s="4"/>
      <c r="AZ549" s="4"/>
      <c r="BA549" s="4"/>
      <c r="BB549" s="4"/>
      <c r="BC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c r="AP550" s="4"/>
      <c r="AQ550" s="4"/>
      <c r="AR550" s="4"/>
      <c r="AS550" s="4"/>
      <c r="AT550" s="4"/>
      <c r="AU550" s="4"/>
      <c r="AV550" s="4"/>
      <c r="AW550" s="4"/>
      <c r="AX550" s="4"/>
      <c r="AY550" s="4"/>
      <c r="AZ550" s="4"/>
      <c r="BA550" s="4"/>
      <c r="BB550" s="4"/>
      <c r="BC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c r="AP551" s="4"/>
      <c r="AQ551" s="4"/>
      <c r="AR551" s="4"/>
      <c r="AS551" s="4"/>
      <c r="AT551" s="4"/>
      <c r="AU551" s="4"/>
      <c r="AV551" s="4"/>
      <c r="AW551" s="4"/>
      <c r="AX551" s="4"/>
      <c r="AY551" s="4"/>
      <c r="AZ551" s="4"/>
      <c r="BA551" s="4"/>
      <c r="BB551" s="4"/>
      <c r="BC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c r="AP552" s="4"/>
      <c r="AQ552" s="4"/>
      <c r="AR552" s="4"/>
      <c r="AS552" s="4"/>
      <c r="AT552" s="4"/>
      <c r="AU552" s="4"/>
      <c r="AV552" s="4"/>
      <c r="AW552" s="4"/>
      <c r="AX552" s="4"/>
      <c r="AY552" s="4"/>
      <c r="AZ552" s="4"/>
      <c r="BA552" s="4"/>
      <c r="BB552" s="4"/>
      <c r="BC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c r="AP553" s="4"/>
      <c r="AQ553" s="4"/>
      <c r="AR553" s="4"/>
      <c r="AS553" s="4"/>
      <c r="AT553" s="4"/>
      <c r="AU553" s="4"/>
      <c r="AV553" s="4"/>
      <c r="AW553" s="4"/>
      <c r="AX553" s="4"/>
      <c r="AY553" s="4"/>
      <c r="AZ553" s="4"/>
      <c r="BA553" s="4"/>
      <c r="BB553" s="4"/>
      <c r="BC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c r="AP554" s="4"/>
      <c r="AQ554" s="4"/>
      <c r="AR554" s="4"/>
      <c r="AS554" s="4"/>
      <c r="AT554" s="4"/>
      <c r="AU554" s="4"/>
      <c r="AV554" s="4"/>
      <c r="AW554" s="4"/>
      <c r="AX554" s="4"/>
      <c r="AY554" s="4"/>
      <c r="AZ554" s="4"/>
      <c r="BA554" s="4"/>
      <c r="BB554" s="4"/>
      <c r="BC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c r="AP555" s="4"/>
      <c r="AQ555" s="4"/>
      <c r="AR555" s="4"/>
      <c r="AS555" s="4"/>
      <c r="AT555" s="4"/>
      <c r="AU555" s="4"/>
      <c r="AV555" s="4"/>
      <c r="AW555" s="4"/>
      <c r="AX555" s="4"/>
      <c r="AY555" s="4"/>
      <c r="AZ555" s="4"/>
      <c r="BA555" s="4"/>
      <c r="BB555" s="4"/>
      <c r="BC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c r="AP556" s="4"/>
      <c r="AQ556" s="4"/>
      <c r="AR556" s="4"/>
      <c r="AS556" s="4"/>
      <c r="AT556" s="4"/>
      <c r="AU556" s="4"/>
      <c r="AV556" s="4"/>
      <c r="AW556" s="4"/>
      <c r="AX556" s="4"/>
      <c r="AY556" s="4"/>
      <c r="AZ556" s="4"/>
      <c r="BA556" s="4"/>
      <c r="BB556" s="4"/>
      <c r="BC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c r="AP557" s="4"/>
      <c r="AQ557" s="4"/>
      <c r="AR557" s="4"/>
      <c r="AS557" s="4"/>
      <c r="AT557" s="4"/>
      <c r="AU557" s="4"/>
      <c r="AV557" s="4"/>
      <c r="AW557" s="4"/>
      <c r="AX557" s="4"/>
      <c r="AY557" s="4"/>
      <c r="AZ557" s="4"/>
      <c r="BA557" s="4"/>
      <c r="BB557" s="4"/>
      <c r="BC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c r="AP558" s="4"/>
      <c r="AQ558" s="4"/>
      <c r="AR558" s="4"/>
      <c r="AS558" s="4"/>
      <c r="AT558" s="4"/>
      <c r="AU558" s="4"/>
      <c r="AV558" s="4"/>
      <c r="AW558" s="4"/>
      <c r="AX558" s="4"/>
      <c r="AY558" s="4"/>
      <c r="AZ558" s="4"/>
      <c r="BA558" s="4"/>
      <c r="BB558" s="4"/>
      <c r="BC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c r="AP559" s="4"/>
      <c r="AQ559" s="4"/>
      <c r="AR559" s="4"/>
      <c r="AS559" s="4"/>
      <c r="AT559" s="4"/>
      <c r="AU559" s="4"/>
      <c r="AV559" s="4"/>
      <c r="AW559" s="4"/>
      <c r="AX559" s="4"/>
      <c r="AY559" s="4"/>
      <c r="AZ559" s="4"/>
      <c r="BA559" s="4"/>
      <c r="BB559" s="4"/>
      <c r="BC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c r="AP560" s="4"/>
      <c r="AQ560" s="4"/>
      <c r="AR560" s="4"/>
      <c r="AS560" s="4"/>
      <c r="AT560" s="4"/>
      <c r="AU560" s="4"/>
      <c r="AV560" s="4"/>
      <c r="AW560" s="4"/>
      <c r="AX560" s="4"/>
      <c r="AY560" s="4"/>
      <c r="AZ560" s="4"/>
      <c r="BA560" s="4"/>
      <c r="BB560" s="4"/>
      <c r="BC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c r="AP561" s="4"/>
      <c r="AQ561" s="4"/>
      <c r="AR561" s="4"/>
      <c r="AS561" s="4"/>
      <c r="AT561" s="4"/>
      <c r="AU561" s="4"/>
      <c r="AV561" s="4"/>
      <c r="AW561" s="4"/>
      <c r="AX561" s="4"/>
      <c r="AY561" s="4"/>
      <c r="AZ561" s="4"/>
      <c r="BA561" s="4"/>
      <c r="BB561" s="4"/>
      <c r="BC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c r="AP562" s="4"/>
      <c r="AQ562" s="4"/>
      <c r="AR562" s="4"/>
      <c r="AS562" s="4"/>
      <c r="AT562" s="4"/>
      <c r="AU562" s="4"/>
      <c r="AV562" s="4"/>
      <c r="AW562" s="4"/>
      <c r="AX562" s="4"/>
      <c r="AY562" s="4"/>
      <c r="AZ562" s="4"/>
      <c r="BA562" s="4"/>
      <c r="BB562" s="4"/>
      <c r="BC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c r="AP563" s="4"/>
      <c r="AQ563" s="4"/>
      <c r="AR563" s="4"/>
      <c r="AS563" s="4"/>
      <c r="AT563" s="4"/>
      <c r="AU563" s="4"/>
      <c r="AV563" s="4"/>
      <c r="AW563" s="4"/>
      <c r="AX563" s="4"/>
      <c r="AY563" s="4"/>
      <c r="AZ563" s="4"/>
      <c r="BA563" s="4"/>
      <c r="BB563" s="4"/>
      <c r="BC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c r="AP564" s="4"/>
      <c r="AQ564" s="4"/>
      <c r="AR564" s="4"/>
      <c r="AS564" s="4"/>
      <c r="AT564" s="4"/>
      <c r="AU564" s="4"/>
      <c r="AV564" s="4"/>
      <c r="AW564" s="4"/>
      <c r="AX564" s="4"/>
      <c r="AY564" s="4"/>
      <c r="AZ564" s="4"/>
      <c r="BA564" s="4"/>
      <c r="BB564" s="4"/>
      <c r="BC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c r="AP565" s="4"/>
      <c r="AQ565" s="4"/>
      <c r="AR565" s="4"/>
      <c r="AS565" s="4"/>
      <c r="AT565" s="4"/>
      <c r="AU565" s="4"/>
      <c r="AV565" s="4"/>
      <c r="AW565" s="4"/>
      <c r="AX565" s="4"/>
      <c r="AY565" s="4"/>
      <c r="AZ565" s="4"/>
      <c r="BA565" s="4"/>
      <c r="BB565" s="4"/>
      <c r="BC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c r="AP566" s="4"/>
      <c r="AQ566" s="4"/>
      <c r="AR566" s="4"/>
      <c r="AS566" s="4"/>
      <c r="AT566" s="4"/>
      <c r="AU566" s="4"/>
      <c r="AV566" s="4"/>
      <c r="AW566" s="4"/>
      <c r="AX566" s="4"/>
      <c r="AY566" s="4"/>
      <c r="AZ566" s="4"/>
      <c r="BA566" s="4"/>
      <c r="BB566" s="4"/>
      <c r="BC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c r="AP567" s="4"/>
      <c r="AQ567" s="4"/>
      <c r="AR567" s="4"/>
      <c r="AS567" s="4"/>
      <c r="AT567" s="4"/>
      <c r="AU567" s="4"/>
      <c r="AV567" s="4"/>
      <c r="AW567" s="4"/>
      <c r="AX567" s="4"/>
      <c r="AY567" s="4"/>
      <c r="AZ567" s="4"/>
      <c r="BA567" s="4"/>
      <c r="BB567" s="4"/>
      <c r="BC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c r="AP568" s="4"/>
      <c r="AQ568" s="4"/>
      <c r="AR568" s="4"/>
      <c r="AS568" s="4"/>
      <c r="AT568" s="4"/>
      <c r="AU568" s="4"/>
      <c r="AV568" s="4"/>
      <c r="AW568" s="4"/>
      <c r="AX568" s="4"/>
      <c r="AY568" s="4"/>
      <c r="AZ568" s="4"/>
      <c r="BA568" s="4"/>
      <c r="BB568" s="4"/>
      <c r="BC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c r="AP569" s="4"/>
      <c r="AQ569" s="4"/>
      <c r="AR569" s="4"/>
      <c r="AS569" s="4"/>
      <c r="AT569" s="4"/>
      <c r="AU569" s="4"/>
      <c r="AV569" s="4"/>
      <c r="AW569" s="4"/>
      <c r="AX569" s="4"/>
      <c r="AY569" s="4"/>
      <c r="AZ569" s="4"/>
      <c r="BA569" s="4"/>
      <c r="BB569" s="4"/>
      <c r="BC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c r="AP570" s="4"/>
      <c r="AQ570" s="4"/>
      <c r="AR570" s="4"/>
      <c r="AS570" s="4"/>
      <c r="AT570" s="4"/>
      <c r="AU570" s="4"/>
      <c r="AV570" s="4"/>
      <c r="AW570" s="4"/>
      <c r="AX570" s="4"/>
      <c r="AY570" s="4"/>
      <c r="AZ570" s="4"/>
      <c r="BA570" s="4"/>
      <c r="BB570" s="4"/>
      <c r="BC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c r="AP571" s="4"/>
      <c r="AQ571" s="4"/>
      <c r="AR571" s="4"/>
      <c r="AS571" s="4"/>
      <c r="AT571" s="4"/>
      <c r="AU571" s="4"/>
      <c r="AV571" s="4"/>
      <c r="AW571" s="4"/>
      <c r="AX571" s="4"/>
      <c r="AY571" s="4"/>
      <c r="AZ571" s="4"/>
      <c r="BA571" s="4"/>
      <c r="BB571" s="4"/>
      <c r="BC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c r="AP572" s="4"/>
      <c r="AQ572" s="4"/>
      <c r="AR572" s="4"/>
      <c r="AS572" s="4"/>
      <c r="AT572" s="4"/>
      <c r="AU572" s="4"/>
      <c r="AV572" s="4"/>
      <c r="AW572" s="4"/>
      <c r="AX572" s="4"/>
      <c r="AY572" s="4"/>
      <c r="AZ572" s="4"/>
      <c r="BA572" s="4"/>
      <c r="BB572" s="4"/>
      <c r="BC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c r="AP573" s="4"/>
      <c r="AQ573" s="4"/>
      <c r="AR573" s="4"/>
      <c r="AS573" s="4"/>
      <c r="AT573" s="4"/>
      <c r="AU573" s="4"/>
      <c r="AV573" s="4"/>
      <c r="AW573" s="4"/>
      <c r="AX573" s="4"/>
      <c r="AY573" s="4"/>
      <c r="AZ573" s="4"/>
      <c r="BA573" s="4"/>
      <c r="BB573" s="4"/>
      <c r="BC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c r="AP574" s="4"/>
      <c r="AQ574" s="4"/>
      <c r="AR574" s="4"/>
      <c r="AS574" s="4"/>
      <c r="AT574" s="4"/>
      <c r="AU574" s="4"/>
      <c r="AV574" s="4"/>
      <c r="AW574" s="4"/>
      <c r="AX574" s="4"/>
      <c r="AY574" s="4"/>
      <c r="AZ574" s="4"/>
      <c r="BA574" s="4"/>
      <c r="BB574" s="4"/>
      <c r="BC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c r="AP575" s="4"/>
      <c r="AQ575" s="4"/>
      <c r="AR575" s="4"/>
      <c r="AS575" s="4"/>
      <c r="AT575" s="4"/>
      <c r="AU575" s="4"/>
      <c r="AV575" s="4"/>
      <c r="AW575" s="4"/>
      <c r="AX575" s="4"/>
      <c r="AY575" s="4"/>
      <c r="AZ575" s="4"/>
      <c r="BA575" s="4"/>
      <c r="BB575" s="4"/>
      <c r="BC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c r="AP576" s="4"/>
      <c r="AQ576" s="4"/>
      <c r="AR576" s="4"/>
      <c r="AS576" s="4"/>
      <c r="AT576" s="4"/>
      <c r="AU576" s="4"/>
      <c r="AV576" s="4"/>
      <c r="AW576" s="4"/>
      <c r="AX576" s="4"/>
      <c r="AY576" s="4"/>
      <c r="AZ576" s="4"/>
      <c r="BA576" s="4"/>
      <c r="BB576" s="4"/>
      <c r="BC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c r="AP577" s="4"/>
      <c r="AQ577" s="4"/>
      <c r="AR577" s="4"/>
      <c r="AS577" s="4"/>
      <c r="AT577" s="4"/>
      <c r="AU577" s="4"/>
      <c r="AV577" s="4"/>
      <c r="AW577" s="4"/>
      <c r="AX577" s="4"/>
      <c r="AY577" s="4"/>
      <c r="AZ577" s="4"/>
      <c r="BA577" s="4"/>
      <c r="BB577" s="4"/>
      <c r="BC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c r="AP578" s="4"/>
      <c r="AQ578" s="4"/>
      <c r="AR578" s="4"/>
      <c r="AS578" s="4"/>
      <c r="AT578" s="4"/>
      <c r="AU578" s="4"/>
      <c r="AV578" s="4"/>
      <c r="AW578" s="4"/>
      <c r="AX578" s="4"/>
      <c r="AY578" s="4"/>
      <c r="AZ578" s="4"/>
      <c r="BA578" s="4"/>
      <c r="BB578" s="4"/>
      <c r="BC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c r="AP579" s="4"/>
      <c r="AQ579" s="4"/>
      <c r="AR579" s="4"/>
      <c r="AS579" s="4"/>
      <c r="AT579" s="4"/>
      <c r="AU579" s="4"/>
      <c r="AV579" s="4"/>
      <c r="AW579" s="4"/>
      <c r="AX579" s="4"/>
      <c r="AY579" s="4"/>
      <c r="AZ579" s="4"/>
      <c r="BA579" s="4"/>
      <c r="BB579" s="4"/>
      <c r="BC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c r="AP580" s="4"/>
      <c r="AQ580" s="4"/>
      <c r="AR580" s="4"/>
      <c r="AS580" s="4"/>
      <c r="AT580" s="4"/>
      <c r="AU580" s="4"/>
      <c r="AV580" s="4"/>
      <c r="AW580" s="4"/>
      <c r="AX580" s="4"/>
      <c r="AY580" s="4"/>
      <c r="AZ580" s="4"/>
      <c r="BA580" s="4"/>
      <c r="BB580" s="4"/>
      <c r="BC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c r="AP581" s="4"/>
      <c r="AQ581" s="4"/>
      <c r="AR581" s="4"/>
      <c r="AS581" s="4"/>
      <c r="AT581" s="4"/>
      <c r="AU581" s="4"/>
      <c r="AV581" s="4"/>
      <c r="AW581" s="4"/>
      <c r="AX581" s="4"/>
      <c r="AY581" s="4"/>
      <c r="AZ581" s="4"/>
      <c r="BA581" s="4"/>
      <c r="BB581" s="4"/>
      <c r="BC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c r="AP582" s="4"/>
      <c r="AQ582" s="4"/>
      <c r="AR582" s="4"/>
      <c r="AS582" s="4"/>
      <c r="AT582" s="4"/>
      <c r="AU582" s="4"/>
      <c r="AV582" s="4"/>
      <c r="AW582" s="4"/>
      <c r="AX582" s="4"/>
      <c r="AY582" s="4"/>
      <c r="AZ582" s="4"/>
      <c r="BA582" s="4"/>
      <c r="BB582" s="4"/>
      <c r="BC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c r="AP583" s="4"/>
      <c r="AQ583" s="4"/>
      <c r="AR583" s="4"/>
      <c r="AS583" s="4"/>
      <c r="AT583" s="4"/>
      <c r="AU583" s="4"/>
      <c r="AV583" s="4"/>
      <c r="AW583" s="4"/>
      <c r="AX583" s="4"/>
      <c r="AY583" s="4"/>
      <c r="AZ583" s="4"/>
      <c r="BA583" s="4"/>
      <c r="BB583" s="4"/>
      <c r="BC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c r="AP584" s="4"/>
      <c r="AQ584" s="4"/>
      <c r="AR584" s="4"/>
      <c r="AS584" s="4"/>
      <c r="AT584" s="4"/>
      <c r="AU584" s="4"/>
      <c r="AV584" s="4"/>
      <c r="AW584" s="4"/>
      <c r="AX584" s="4"/>
      <c r="AY584" s="4"/>
      <c r="AZ584" s="4"/>
      <c r="BA584" s="4"/>
      <c r="BB584" s="4"/>
      <c r="BC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c r="AP585" s="4"/>
      <c r="AQ585" s="4"/>
      <c r="AR585" s="4"/>
      <c r="AS585" s="4"/>
      <c r="AT585" s="4"/>
      <c r="AU585" s="4"/>
      <c r="AV585" s="4"/>
      <c r="AW585" s="4"/>
      <c r="AX585" s="4"/>
      <c r="AY585" s="4"/>
      <c r="AZ585" s="4"/>
      <c r="BA585" s="4"/>
      <c r="BB585" s="4"/>
      <c r="BC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c r="AP586" s="4"/>
      <c r="AQ586" s="4"/>
      <c r="AR586" s="4"/>
      <c r="AS586" s="4"/>
      <c r="AT586" s="4"/>
      <c r="AU586" s="4"/>
      <c r="AV586" s="4"/>
      <c r="AW586" s="4"/>
      <c r="AX586" s="4"/>
      <c r="AY586" s="4"/>
      <c r="AZ586" s="4"/>
      <c r="BA586" s="4"/>
      <c r="BB586" s="4"/>
      <c r="BC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c r="AP587" s="4"/>
      <c r="AQ587" s="4"/>
      <c r="AR587" s="4"/>
      <c r="AS587" s="4"/>
      <c r="AT587" s="4"/>
      <c r="AU587" s="4"/>
      <c r="AV587" s="4"/>
      <c r="AW587" s="4"/>
      <c r="AX587" s="4"/>
      <c r="AY587" s="4"/>
      <c r="AZ587" s="4"/>
      <c r="BA587" s="4"/>
      <c r="BB587" s="4"/>
      <c r="BC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c r="AP588" s="4"/>
      <c r="AQ588" s="4"/>
      <c r="AR588" s="4"/>
      <c r="AS588" s="4"/>
      <c r="AT588" s="4"/>
      <c r="AU588" s="4"/>
      <c r="AV588" s="4"/>
      <c r="AW588" s="4"/>
      <c r="AX588" s="4"/>
      <c r="AY588" s="4"/>
      <c r="AZ588" s="4"/>
      <c r="BA588" s="4"/>
      <c r="BB588" s="4"/>
      <c r="BC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c r="AP589" s="4"/>
      <c r="AQ589" s="4"/>
      <c r="AR589" s="4"/>
      <c r="AS589" s="4"/>
      <c r="AT589" s="4"/>
      <c r="AU589" s="4"/>
      <c r="AV589" s="4"/>
      <c r="AW589" s="4"/>
      <c r="AX589" s="4"/>
      <c r="AY589" s="4"/>
      <c r="AZ589" s="4"/>
      <c r="BA589" s="4"/>
      <c r="BB589" s="4"/>
      <c r="BC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c r="AP590" s="4"/>
      <c r="AQ590" s="4"/>
      <c r="AR590" s="4"/>
      <c r="AS590" s="4"/>
      <c r="AT590" s="4"/>
      <c r="AU590" s="4"/>
      <c r="AV590" s="4"/>
      <c r="AW590" s="4"/>
      <c r="AX590" s="4"/>
      <c r="AY590" s="4"/>
      <c r="AZ590" s="4"/>
      <c r="BA590" s="4"/>
      <c r="BB590" s="4"/>
      <c r="BC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c r="AP591" s="4"/>
      <c r="AQ591" s="4"/>
      <c r="AR591" s="4"/>
      <c r="AS591" s="4"/>
      <c r="AT591" s="4"/>
      <c r="AU591" s="4"/>
      <c r="AV591" s="4"/>
      <c r="AW591" s="4"/>
      <c r="AX591" s="4"/>
      <c r="AY591" s="4"/>
      <c r="AZ591" s="4"/>
      <c r="BA591" s="4"/>
      <c r="BB591" s="4"/>
      <c r="BC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c r="AP592" s="4"/>
      <c r="AQ592" s="4"/>
      <c r="AR592" s="4"/>
      <c r="AS592" s="4"/>
      <c r="AT592" s="4"/>
      <c r="AU592" s="4"/>
      <c r="AV592" s="4"/>
      <c r="AW592" s="4"/>
      <c r="AX592" s="4"/>
      <c r="AY592" s="4"/>
      <c r="AZ592" s="4"/>
      <c r="BA592" s="4"/>
      <c r="BB592" s="4"/>
      <c r="BC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c r="AP593" s="4"/>
      <c r="AQ593" s="4"/>
      <c r="AR593" s="4"/>
      <c r="AS593" s="4"/>
      <c r="AT593" s="4"/>
      <c r="AU593" s="4"/>
      <c r="AV593" s="4"/>
      <c r="AW593" s="4"/>
      <c r="AX593" s="4"/>
      <c r="AY593" s="4"/>
      <c r="AZ593" s="4"/>
      <c r="BA593" s="4"/>
      <c r="BB593" s="4"/>
      <c r="BC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c r="AP594" s="4"/>
      <c r="AQ594" s="4"/>
      <c r="AR594" s="4"/>
      <c r="AS594" s="4"/>
      <c r="AT594" s="4"/>
      <c r="AU594" s="4"/>
      <c r="AV594" s="4"/>
      <c r="AW594" s="4"/>
      <c r="AX594" s="4"/>
      <c r="AY594" s="4"/>
      <c r="AZ594" s="4"/>
      <c r="BA594" s="4"/>
      <c r="BB594" s="4"/>
      <c r="BC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c r="AP595" s="4"/>
      <c r="AQ595" s="4"/>
      <c r="AR595" s="4"/>
      <c r="AS595" s="4"/>
      <c r="AT595" s="4"/>
      <c r="AU595" s="4"/>
      <c r="AV595" s="4"/>
      <c r="AW595" s="4"/>
      <c r="AX595" s="4"/>
      <c r="AY595" s="4"/>
      <c r="AZ595" s="4"/>
      <c r="BA595" s="4"/>
      <c r="BB595" s="4"/>
      <c r="BC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c r="AP596" s="4"/>
      <c r="AQ596" s="4"/>
      <c r="AR596" s="4"/>
      <c r="AS596" s="4"/>
      <c r="AT596" s="4"/>
      <c r="AU596" s="4"/>
      <c r="AV596" s="4"/>
      <c r="AW596" s="4"/>
      <c r="AX596" s="4"/>
      <c r="AY596" s="4"/>
      <c r="AZ596" s="4"/>
      <c r="BA596" s="4"/>
      <c r="BB596" s="4"/>
      <c r="BC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c r="AP597" s="4"/>
      <c r="AQ597" s="4"/>
      <c r="AR597" s="4"/>
      <c r="AS597" s="4"/>
      <c r="AT597" s="4"/>
      <c r="AU597" s="4"/>
      <c r="AV597" s="4"/>
      <c r="AW597" s="4"/>
      <c r="AX597" s="4"/>
      <c r="AY597" s="4"/>
      <c r="AZ597" s="4"/>
      <c r="BA597" s="4"/>
      <c r="BB597" s="4"/>
      <c r="BC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c r="AP598" s="4"/>
      <c r="AQ598" s="4"/>
      <c r="AR598" s="4"/>
      <c r="AS598" s="4"/>
      <c r="AT598" s="4"/>
      <c r="AU598" s="4"/>
      <c r="AV598" s="4"/>
      <c r="AW598" s="4"/>
      <c r="AX598" s="4"/>
      <c r="AY598" s="4"/>
      <c r="AZ598" s="4"/>
      <c r="BA598" s="4"/>
      <c r="BB598" s="4"/>
      <c r="BC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c r="AP599" s="4"/>
      <c r="AQ599" s="4"/>
      <c r="AR599" s="4"/>
      <c r="AS599" s="4"/>
      <c r="AT599" s="4"/>
      <c r="AU599" s="4"/>
      <c r="AV599" s="4"/>
      <c r="AW599" s="4"/>
      <c r="AX599" s="4"/>
      <c r="AY599" s="4"/>
      <c r="AZ599" s="4"/>
      <c r="BA599" s="4"/>
      <c r="BB599" s="4"/>
      <c r="BC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c r="AP600" s="4"/>
      <c r="AQ600" s="4"/>
      <c r="AR600" s="4"/>
      <c r="AS600" s="4"/>
      <c r="AT600" s="4"/>
      <c r="AU600" s="4"/>
      <c r="AV600" s="4"/>
      <c r="AW600" s="4"/>
      <c r="AX600" s="4"/>
      <c r="AY600" s="4"/>
      <c r="AZ600" s="4"/>
      <c r="BA600" s="4"/>
      <c r="BB600" s="4"/>
      <c r="BC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c r="AP601" s="4"/>
      <c r="AQ601" s="4"/>
      <c r="AR601" s="4"/>
      <c r="AS601" s="4"/>
      <c r="AT601" s="4"/>
      <c r="AU601" s="4"/>
      <c r="AV601" s="4"/>
      <c r="AW601" s="4"/>
      <c r="AX601" s="4"/>
      <c r="AY601" s="4"/>
      <c r="AZ601" s="4"/>
      <c r="BA601" s="4"/>
      <c r="BB601" s="4"/>
      <c r="BC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c r="AP602" s="4"/>
      <c r="AQ602" s="4"/>
      <c r="AR602" s="4"/>
      <c r="AS602" s="4"/>
      <c r="AT602" s="4"/>
      <c r="AU602" s="4"/>
      <c r="AV602" s="4"/>
      <c r="AW602" s="4"/>
      <c r="AX602" s="4"/>
      <c r="AY602" s="4"/>
      <c r="AZ602" s="4"/>
      <c r="BA602" s="4"/>
      <c r="BB602" s="4"/>
      <c r="BC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c r="AP603" s="4"/>
      <c r="AQ603" s="4"/>
      <c r="AR603" s="4"/>
      <c r="AS603" s="4"/>
      <c r="AT603" s="4"/>
      <c r="AU603" s="4"/>
      <c r="AV603" s="4"/>
      <c r="AW603" s="4"/>
      <c r="AX603" s="4"/>
      <c r="AY603" s="4"/>
      <c r="AZ603" s="4"/>
      <c r="BA603" s="4"/>
      <c r="BB603" s="4"/>
      <c r="BC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c r="AP604" s="4"/>
      <c r="AQ604" s="4"/>
      <c r="AR604" s="4"/>
      <c r="AS604" s="4"/>
      <c r="AT604" s="4"/>
      <c r="AU604" s="4"/>
      <c r="AV604" s="4"/>
      <c r="AW604" s="4"/>
      <c r="AX604" s="4"/>
      <c r="AY604" s="4"/>
      <c r="AZ604" s="4"/>
      <c r="BA604" s="4"/>
      <c r="BB604" s="4"/>
      <c r="BC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c r="AP605" s="4"/>
      <c r="AQ605" s="4"/>
      <c r="AR605" s="4"/>
      <c r="AS605" s="4"/>
      <c r="AT605" s="4"/>
      <c r="AU605" s="4"/>
      <c r="AV605" s="4"/>
      <c r="AW605" s="4"/>
      <c r="AX605" s="4"/>
      <c r="AY605" s="4"/>
      <c r="AZ605" s="4"/>
      <c r="BA605" s="4"/>
      <c r="BB605" s="4"/>
      <c r="BC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c r="AP606" s="4"/>
      <c r="AQ606" s="4"/>
      <c r="AR606" s="4"/>
      <c r="AS606" s="4"/>
      <c r="AT606" s="4"/>
      <c r="AU606" s="4"/>
      <c r="AV606" s="4"/>
      <c r="AW606" s="4"/>
      <c r="AX606" s="4"/>
      <c r="AY606" s="4"/>
      <c r="AZ606" s="4"/>
      <c r="BA606" s="4"/>
      <c r="BB606" s="4"/>
      <c r="BC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c r="AP607" s="4"/>
      <c r="AQ607" s="4"/>
      <c r="AR607" s="4"/>
      <c r="AS607" s="4"/>
      <c r="AT607" s="4"/>
      <c r="AU607" s="4"/>
      <c r="AV607" s="4"/>
      <c r="AW607" s="4"/>
      <c r="AX607" s="4"/>
      <c r="AY607" s="4"/>
      <c r="AZ607" s="4"/>
      <c r="BA607" s="4"/>
      <c r="BB607" s="4"/>
      <c r="BC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c r="AP608" s="4"/>
      <c r="AQ608" s="4"/>
      <c r="AR608" s="4"/>
      <c r="AS608" s="4"/>
      <c r="AT608" s="4"/>
      <c r="AU608" s="4"/>
      <c r="AV608" s="4"/>
      <c r="AW608" s="4"/>
      <c r="AX608" s="4"/>
      <c r="AY608" s="4"/>
      <c r="AZ608" s="4"/>
      <c r="BA608" s="4"/>
      <c r="BB608" s="4"/>
      <c r="BC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c r="AP609" s="4"/>
      <c r="AQ609" s="4"/>
      <c r="AR609" s="4"/>
      <c r="AS609" s="4"/>
      <c r="AT609" s="4"/>
      <c r="AU609" s="4"/>
      <c r="AV609" s="4"/>
      <c r="AW609" s="4"/>
      <c r="AX609" s="4"/>
      <c r="AY609" s="4"/>
      <c r="AZ609" s="4"/>
      <c r="BA609" s="4"/>
      <c r="BB609" s="4"/>
      <c r="BC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c r="AP610" s="4"/>
      <c r="AQ610" s="4"/>
      <c r="AR610" s="4"/>
      <c r="AS610" s="4"/>
      <c r="AT610" s="4"/>
      <c r="AU610" s="4"/>
      <c r="AV610" s="4"/>
      <c r="AW610" s="4"/>
      <c r="AX610" s="4"/>
      <c r="AY610" s="4"/>
      <c r="AZ610" s="4"/>
      <c r="BA610" s="4"/>
      <c r="BB610" s="4"/>
      <c r="BC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c r="AP611" s="4"/>
      <c r="AQ611" s="4"/>
      <c r="AR611" s="4"/>
      <c r="AS611" s="4"/>
      <c r="AT611" s="4"/>
      <c r="AU611" s="4"/>
      <c r="AV611" s="4"/>
      <c r="AW611" s="4"/>
      <c r="AX611" s="4"/>
      <c r="AY611" s="4"/>
      <c r="AZ611" s="4"/>
      <c r="BA611" s="4"/>
      <c r="BB611" s="4"/>
      <c r="BC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c r="AP612" s="4"/>
      <c r="AQ612" s="4"/>
      <c r="AR612" s="4"/>
      <c r="AS612" s="4"/>
      <c r="AT612" s="4"/>
      <c r="AU612" s="4"/>
      <c r="AV612" s="4"/>
      <c r="AW612" s="4"/>
      <c r="AX612" s="4"/>
      <c r="AY612" s="4"/>
      <c r="AZ612" s="4"/>
      <c r="BA612" s="4"/>
      <c r="BB612" s="4"/>
      <c r="BC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c r="AP613" s="4"/>
      <c r="AQ613" s="4"/>
      <c r="AR613" s="4"/>
      <c r="AS613" s="4"/>
      <c r="AT613" s="4"/>
      <c r="AU613" s="4"/>
      <c r="AV613" s="4"/>
      <c r="AW613" s="4"/>
      <c r="AX613" s="4"/>
      <c r="AY613" s="4"/>
      <c r="AZ613" s="4"/>
      <c r="BA613" s="4"/>
      <c r="BB613" s="4"/>
      <c r="BC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c r="AP614" s="4"/>
      <c r="AQ614" s="4"/>
      <c r="AR614" s="4"/>
      <c r="AS614" s="4"/>
      <c r="AT614" s="4"/>
      <c r="AU614" s="4"/>
      <c r="AV614" s="4"/>
      <c r="AW614" s="4"/>
      <c r="AX614" s="4"/>
      <c r="AY614" s="4"/>
      <c r="AZ614" s="4"/>
      <c r="BA614" s="4"/>
      <c r="BB614" s="4"/>
      <c r="BC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c r="AP615" s="4"/>
      <c r="AQ615" s="4"/>
      <c r="AR615" s="4"/>
      <c r="AS615" s="4"/>
      <c r="AT615" s="4"/>
      <c r="AU615" s="4"/>
      <c r="AV615" s="4"/>
      <c r="AW615" s="4"/>
      <c r="AX615" s="4"/>
      <c r="AY615" s="4"/>
      <c r="AZ615" s="4"/>
      <c r="BA615" s="4"/>
      <c r="BB615" s="4"/>
      <c r="BC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c r="AP616" s="4"/>
      <c r="AQ616" s="4"/>
      <c r="AR616" s="4"/>
      <c r="AS616" s="4"/>
      <c r="AT616" s="4"/>
      <c r="AU616" s="4"/>
      <c r="AV616" s="4"/>
      <c r="AW616" s="4"/>
      <c r="AX616" s="4"/>
      <c r="AY616" s="4"/>
      <c r="AZ616" s="4"/>
      <c r="BA616" s="4"/>
      <c r="BB616" s="4"/>
      <c r="BC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c r="AP617" s="4"/>
      <c r="AQ617" s="4"/>
      <c r="AR617" s="4"/>
      <c r="AS617" s="4"/>
      <c r="AT617" s="4"/>
      <c r="AU617" s="4"/>
      <c r="AV617" s="4"/>
      <c r="AW617" s="4"/>
      <c r="AX617" s="4"/>
      <c r="AY617" s="4"/>
      <c r="AZ617" s="4"/>
      <c r="BA617" s="4"/>
      <c r="BB617" s="4"/>
      <c r="BC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c r="AP618" s="4"/>
      <c r="AQ618" s="4"/>
      <c r="AR618" s="4"/>
      <c r="AS618" s="4"/>
      <c r="AT618" s="4"/>
      <c r="AU618" s="4"/>
      <c r="AV618" s="4"/>
      <c r="AW618" s="4"/>
      <c r="AX618" s="4"/>
      <c r="AY618" s="4"/>
      <c r="AZ618" s="4"/>
      <c r="BA618" s="4"/>
      <c r="BB618" s="4"/>
      <c r="BC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c r="AP619" s="4"/>
      <c r="AQ619" s="4"/>
      <c r="AR619" s="4"/>
      <c r="AS619" s="4"/>
      <c r="AT619" s="4"/>
      <c r="AU619" s="4"/>
      <c r="AV619" s="4"/>
      <c r="AW619" s="4"/>
      <c r="AX619" s="4"/>
      <c r="AY619" s="4"/>
      <c r="AZ619" s="4"/>
      <c r="BA619" s="4"/>
      <c r="BB619" s="4"/>
      <c r="BC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c r="AP620" s="4"/>
      <c r="AQ620" s="4"/>
      <c r="AR620" s="4"/>
      <c r="AS620" s="4"/>
      <c r="AT620" s="4"/>
      <c r="AU620" s="4"/>
      <c r="AV620" s="4"/>
      <c r="AW620" s="4"/>
      <c r="AX620" s="4"/>
      <c r="AY620" s="4"/>
      <c r="AZ620" s="4"/>
      <c r="BA620" s="4"/>
      <c r="BB620" s="4"/>
      <c r="BC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c r="AP621" s="4"/>
      <c r="AQ621" s="4"/>
      <c r="AR621" s="4"/>
      <c r="AS621" s="4"/>
      <c r="AT621" s="4"/>
      <c r="AU621" s="4"/>
      <c r="AV621" s="4"/>
      <c r="AW621" s="4"/>
      <c r="AX621" s="4"/>
      <c r="AY621" s="4"/>
      <c r="AZ621" s="4"/>
      <c r="BA621" s="4"/>
      <c r="BB621" s="4"/>
      <c r="BC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c r="AP622" s="4"/>
      <c r="AQ622" s="4"/>
      <c r="AR622" s="4"/>
      <c r="AS622" s="4"/>
      <c r="AT622" s="4"/>
      <c r="AU622" s="4"/>
      <c r="AV622" s="4"/>
      <c r="AW622" s="4"/>
      <c r="AX622" s="4"/>
      <c r="AY622" s="4"/>
      <c r="AZ622" s="4"/>
      <c r="BA622" s="4"/>
      <c r="BB622" s="4"/>
      <c r="BC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c r="AP623" s="4"/>
      <c r="AQ623" s="4"/>
      <c r="AR623" s="4"/>
      <c r="AS623" s="4"/>
      <c r="AT623" s="4"/>
      <c r="AU623" s="4"/>
      <c r="AV623" s="4"/>
      <c r="AW623" s="4"/>
      <c r="AX623" s="4"/>
      <c r="AY623" s="4"/>
      <c r="AZ623" s="4"/>
      <c r="BA623" s="4"/>
      <c r="BB623" s="4"/>
      <c r="BC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c r="AP624" s="4"/>
      <c r="AQ624" s="4"/>
      <c r="AR624" s="4"/>
      <c r="AS624" s="4"/>
      <c r="AT624" s="4"/>
      <c r="AU624" s="4"/>
      <c r="AV624" s="4"/>
      <c r="AW624" s="4"/>
      <c r="AX624" s="4"/>
      <c r="AY624" s="4"/>
      <c r="AZ624" s="4"/>
      <c r="BA624" s="4"/>
      <c r="BB624" s="4"/>
      <c r="BC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c r="AP625" s="4"/>
      <c r="AQ625" s="4"/>
      <c r="AR625" s="4"/>
      <c r="AS625" s="4"/>
      <c r="AT625" s="4"/>
      <c r="AU625" s="4"/>
      <c r="AV625" s="4"/>
      <c r="AW625" s="4"/>
      <c r="AX625" s="4"/>
      <c r="AY625" s="4"/>
      <c r="AZ625" s="4"/>
      <c r="BA625" s="4"/>
      <c r="BB625" s="4"/>
      <c r="BC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c r="AP626" s="4"/>
      <c r="AQ626" s="4"/>
      <c r="AR626" s="4"/>
      <c r="AS626" s="4"/>
      <c r="AT626" s="4"/>
      <c r="AU626" s="4"/>
      <c r="AV626" s="4"/>
      <c r="AW626" s="4"/>
      <c r="AX626" s="4"/>
      <c r="AY626" s="4"/>
      <c r="AZ626" s="4"/>
      <c r="BA626" s="4"/>
      <c r="BB626" s="4"/>
      <c r="BC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c r="AP627" s="4"/>
      <c r="AQ627" s="4"/>
      <c r="AR627" s="4"/>
      <c r="AS627" s="4"/>
      <c r="AT627" s="4"/>
      <c r="AU627" s="4"/>
      <c r="AV627" s="4"/>
      <c r="AW627" s="4"/>
      <c r="AX627" s="4"/>
      <c r="AY627" s="4"/>
      <c r="AZ627" s="4"/>
      <c r="BA627" s="4"/>
      <c r="BB627" s="4"/>
      <c r="BC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c r="AP628" s="4"/>
      <c r="AQ628" s="4"/>
      <c r="AR628" s="4"/>
      <c r="AS628" s="4"/>
      <c r="AT628" s="4"/>
      <c r="AU628" s="4"/>
      <c r="AV628" s="4"/>
      <c r="AW628" s="4"/>
      <c r="AX628" s="4"/>
      <c r="AY628" s="4"/>
      <c r="AZ628" s="4"/>
      <c r="BA628" s="4"/>
      <c r="BB628" s="4"/>
      <c r="BC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c r="AP629" s="4"/>
      <c r="AQ629" s="4"/>
      <c r="AR629" s="4"/>
      <c r="AS629" s="4"/>
      <c r="AT629" s="4"/>
      <c r="AU629" s="4"/>
      <c r="AV629" s="4"/>
      <c r="AW629" s="4"/>
      <c r="AX629" s="4"/>
      <c r="AY629" s="4"/>
      <c r="AZ629" s="4"/>
      <c r="BA629" s="4"/>
      <c r="BB629" s="4"/>
      <c r="BC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c r="AP630" s="4"/>
      <c r="AQ630" s="4"/>
      <c r="AR630" s="4"/>
      <c r="AS630" s="4"/>
      <c r="AT630" s="4"/>
      <c r="AU630" s="4"/>
      <c r="AV630" s="4"/>
      <c r="AW630" s="4"/>
      <c r="AX630" s="4"/>
      <c r="AY630" s="4"/>
      <c r="AZ630" s="4"/>
      <c r="BA630" s="4"/>
      <c r="BB630" s="4"/>
      <c r="BC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c r="AP631" s="4"/>
      <c r="AQ631" s="4"/>
      <c r="AR631" s="4"/>
      <c r="AS631" s="4"/>
      <c r="AT631" s="4"/>
      <c r="AU631" s="4"/>
      <c r="AV631" s="4"/>
      <c r="AW631" s="4"/>
      <c r="AX631" s="4"/>
      <c r="AY631" s="4"/>
      <c r="AZ631" s="4"/>
      <c r="BA631" s="4"/>
      <c r="BB631" s="4"/>
      <c r="BC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c r="AP632" s="4"/>
      <c r="AQ632" s="4"/>
      <c r="AR632" s="4"/>
      <c r="AS632" s="4"/>
      <c r="AT632" s="4"/>
      <c r="AU632" s="4"/>
      <c r="AV632" s="4"/>
      <c r="AW632" s="4"/>
      <c r="AX632" s="4"/>
      <c r="AY632" s="4"/>
      <c r="AZ632" s="4"/>
      <c r="BA632" s="4"/>
      <c r="BB632" s="4"/>
      <c r="BC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c r="AP633" s="4"/>
      <c r="AQ633" s="4"/>
      <c r="AR633" s="4"/>
      <c r="AS633" s="4"/>
      <c r="AT633" s="4"/>
      <c r="AU633" s="4"/>
      <c r="AV633" s="4"/>
      <c r="AW633" s="4"/>
      <c r="AX633" s="4"/>
      <c r="AY633" s="4"/>
      <c r="AZ633" s="4"/>
      <c r="BA633" s="4"/>
      <c r="BB633" s="4"/>
      <c r="BC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c r="AP634" s="4"/>
      <c r="AQ634" s="4"/>
      <c r="AR634" s="4"/>
      <c r="AS634" s="4"/>
      <c r="AT634" s="4"/>
      <c r="AU634" s="4"/>
      <c r="AV634" s="4"/>
      <c r="AW634" s="4"/>
      <c r="AX634" s="4"/>
      <c r="AY634" s="4"/>
      <c r="AZ634" s="4"/>
      <c r="BA634" s="4"/>
      <c r="BB634" s="4"/>
      <c r="BC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c r="AP635" s="4"/>
      <c r="AQ635" s="4"/>
      <c r="AR635" s="4"/>
      <c r="AS635" s="4"/>
      <c r="AT635" s="4"/>
      <c r="AU635" s="4"/>
      <c r="AV635" s="4"/>
      <c r="AW635" s="4"/>
      <c r="AX635" s="4"/>
      <c r="AY635" s="4"/>
      <c r="AZ635" s="4"/>
      <c r="BA635" s="4"/>
      <c r="BB635" s="4"/>
      <c r="BC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c r="AP636" s="4"/>
      <c r="AQ636" s="4"/>
      <c r="AR636" s="4"/>
      <c r="AS636" s="4"/>
      <c r="AT636" s="4"/>
      <c r="AU636" s="4"/>
      <c r="AV636" s="4"/>
      <c r="AW636" s="4"/>
      <c r="AX636" s="4"/>
      <c r="AY636" s="4"/>
      <c r="AZ636" s="4"/>
      <c r="BA636" s="4"/>
      <c r="BB636" s="4"/>
      <c r="BC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c r="AP637" s="4"/>
      <c r="AQ637" s="4"/>
      <c r="AR637" s="4"/>
      <c r="AS637" s="4"/>
      <c r="AT637" s="4"/>
      <c r="AU637" s="4"/>
      <c r="AV637" s="4"/>
      <c r="AW637" s="4"/>
      <c r="AX637" s="4"/>
      <c r="AY637" s="4"/>
      <c r="AZ637" s="4"/>
      <c r="BA637" s="4"/>
      <c r="BB637" s="4"/>
      <c r="BC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c r="AP638" s="4"/>
      <c r="AQ638" s="4"/>
      <c r="AR638" s="4"/>
      <c r="AS638" s="4"/>
      <c r="AT638" s="4"/>
      <c r="AU638" s="4"/>
      <c r="AV638" s="4"/>
      <c r="AW638" s="4"/>
      <c r="AX638" s="4"/>
      <c r="AY638" s="4"/>
      <c r="AZ638" s="4"/>
      <c r="BA638" s="4"/>
      <c r="BB638" s="4"/>
      <c r="BC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c r="AP639" s="4"/>
      <c r="AQ639" s="4"/>
      <c r="AR639" s="4"/>
      <c r="AS639" s="4"/>
      <c r="AT639" s="4"/>
      <c r="AU639" s="4"/>
      <c r="AV639" s="4"/>
      <c r="AW639" s="4"/>
      <c r="AX639" s="4"/>
      <c r="AY639" s="4"/>
      <c r="AZ639" s="4"/>
      <c r="BA639" s="4"/>
      <c r="BB639" s="4"/>
      <c r="BC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c r="AP640" s="4"/>
      <c r="AQ640" s="4"/>
      <c r="AR640" s="4"/>
      <c r="AS640" s="4"/>
      <c r="AT640" s="4"/>
      <c r="AU640" s="4"/>
      <c r="AV640" s="4"/>
      <c r="AW640" s="4"/>
      <c r="AX640" s="4"/>
      <c r="AY640" s="4"/>
      <c r="AZ640" s="4"/>
      <c r="BA640" s="4"/>
      <c r="BB640" s="4"/>
      <c r="BC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c r="AP641" s="4"/>
      <c r="AQ641" s="4"/>
      <c r="AR641" s="4"/>
      <c r="AS641" s="4"/>
      <c r="AT641" s="4"/>
      <c r="AU641" s="4"/>
      <c r="AV641" s="4"/>
      <c r="AW641" s="4"/>
      <c r="AX641" s="4"/>
      <c r="AY641" s="4"/>
      <c r="AZ641" s="4"/>
      <c r="BA641" s="4"/>
      <c r="BB641" s="4"/>
      <c r="BC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c r="AP642" s="4"/>
      <c r="AQ642" s="4"/>
      <c r="AR642" s="4"/>
      <c r="AS642" s="4"/>
      <c r="AT642" s="4"/>
      <c r="AU642" s="4"/>
      <c r="AV642" s="4"/>
      <c r="AW642" s="4"/>
      <c r="AX642" s="4"/>
      <c r="AY642" s="4"/>
      <c r="AZ642" s="4"/>
      <c r="BA642" s="4"/>
      <c r="BB642" s="4"/>
      <c r="BC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c r="AP643" s="4"/>
      <c r="AQ643" s="4"/>
      <c r="AR643" s="4"/>
      <c r="AS643" s="4"/>
      <c r="AT643" s="4"/>
      <c r="AU643" s="4"/>
      <c r="AV643" s="4"/>
      <c r="AW643" s="4"/>
      <c r="AX643" s="4"/>
      <c r="AY643" s="4"/>
      <c r="AZ643" s="4"/>
      <c r="BA643" s="4"/>
      <c r="BB643" s="4"/>
      <c r="BC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c r="AP644" s="4"/>
      <c r="AQ644" s="4"/>
      <c r="AR644" s="4"/>
      <c r="AS644" s="4"/>
      <c r="AT644" s="4"/>
      <c r="AU644" s="4"/>
      <c r="AV644" s="4"/>
      <c r="AW644" s="4"/>
      <c r="AX644" s="4"/>
      <c r="AY644" s="4"/>
      <c r="AZ644" s="4"/>
      <c r="BA644" s="4"/>
      <c r="BB644" s="4"/>
      <c r="BC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c r="AP645" s="4"/>
      <c r="AQ645" s="4"/>
      <c r="AR645" s="4"/>
      <c r="AS645" s="4"/>
      <c r="AT645" s="4"/>
      <c r="AU645" s="4"/>
      <c r="AV645" s="4"/>
      <c r="AW645" s="4"/>
      <c r="AX645" s="4"/>
      <c r="AY645" s="4"/>
      <c r="AZ645" s="4"/>
      <c r="BA645" s="4"/>
      <c r="BB645" s="4"/>
      <c r="BC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c r="AP646" s="4"/>
      <c r="AQ646" s="4"/>
      <c r="AR646" s="4"/>
      <c r="AS646" s="4"/>
      <c r="AT646" s="4"/>
      <c r="AU646" s="4"/>
      <c r="AV646" s="4"/>
      <c r="AW646" s="4"/>
      <c r="AX646" s="4"/>
      <c r="AY646" s="4"/>
      <c r="AZ646" s="4"/>
      <c r="BA646" s="4"/>
      <c r="BB646" s="4"/>
      <c r="BC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c r="AP647" s="4"/>
      <c r="AQ647" s="4"/>
      <c r="AR647" s="4"/>
      <c r="AS647" s="4"/>
      <c r="AT647" s="4"/>
      <c r="AU647" s="4"/>
      <c r="AV647" s="4"/>
      <c r="AW647" s="4"/>
      <c r="AX647" s="4"/>
      <c r="AY647" s="4"/>
      <c r="AZ647" s="4"/>
      <c r="BA647" s="4"/>
      <c r="BB647" s="4"/>
      <c r="BC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c r="AP648" s="4"/>
      <c r="AQ648" s="4"/>
      <c r="AR648" s="4"/>
      <c r="AS648" s="4"/>
      <c r="AT648" s="4"/>
      <c r="AU648" s="4"/>
      <c r="AV648" s="4"/>
      <c r="AW648" s="4"/>
      <c r="AX648" s="4"/>
      <c r="AY648" s="4"/>
      <c r="AZ648" s="4"/>
      <c r="BA648" s="4"/>
      <c r="BB648" s="4"/>
      <c r="BC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c r="AP649" s="4"/>
      <c r="AQ649" s="4"/>
      <c r="AR649" s="4"/>
      <c r="AS649" s="4"/>
      <c r="AT649" s="4"/>
      <c r="AU649" s="4"/>
      <c r="AV649" s="4"/>
      <c r="AW649" s="4"/>
      <c r="AX649" s="4"/>
      <c r="AY649" s="4"/>
      <c r="AZ649" s="4"/>
      <c r="BA649" s="4"/>
      <c r="BB649" s="4"/>
      <c r="BC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c r="AP650" s="4"/>
      <c r="AQ650" s="4"/>
      <c r="AR650" s="4"/>
      <c r="AS650" s="4"/>
      <c r="AT650" s="4"/>
      <c r="AU650" s="4"/>
      <c r="AV650" s="4"/>
      <c r="AW650" s="4"/>
      <c r="AX650" s="4"/>
      <c r="AY650" s="4"/>
      <c r="AZ650" s="4"/>
      <c r="BA650" s="4"/>
      <c r="BB650" s="4"/>
      <c r="BC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c r="AP651" s="4"/>
      <c r="AQ651" s="4"/>
      <c r="AR651" s="4"/>
      <c r="AS651" s="4"/>
      <c r="AT651" s="4"/>
      <c r="AU651" s="4"/>
      <c r="AV651" s="4"/>
      <c r="AW651" s="4"/>
      <c r="AX651" s="4"/>
      <c r="AY651" s="4"/>
      <c r="AZ651" s="4"/>
      <c r="BA651" s="4"/>
      <c r="BB651" s="4"/>
      <c r="BC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c r="AP652" s="4"/>
      <c r="AQ652" s="4"/>
      <c r="AR652" s="4"/>
      <c r="AS652" s="4"/>
      <c r="AT652" s="4"/>
      <c r="AU652" s="4"/>
      <c r="AV652" s="4"/>
      <c r="AW652" s="4"/>
      <c r="AX652" s="4"/>
      <c r="AY652" s="4"/>
      <c r="AZ652" s="4"/>
      <c r="BA652" s="4"/>
      <c r="BB652" s="4"/>
      <c r="BC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c r="AP653" s="4"/>
      <c r="AQ653" s="4"/>
      <c r="AR653" s="4"/>
      <c r="AS653" s="4"/>
      <c r="AT653" s="4"/>
      <c r="AU653" s="4"/>
      <c r="AV653" s="4"/>
      <c r="AW653" s="4"/>
      <c r="AX653" s="4"/>
      <c r="AY653" s="4"/>
      <c r="AZ653" s="4"/>
      <c r="BA653" s="4"/>
      <c r="BB653" s="4"/>
      <c r="BC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c r="AP654" s="4"/>
      <c r="AQ654" s="4"/>
      <c r="AR654" s="4"/>
      <c r="AS654" s="4"/>
      <c r="AT654" s="4"/>
      <c r="AU654" s="4"/>
      <c r="AV654" s="4"/>
      <c r="AW654" s="4"/>
      <c r="AX654" s="4"/>
      <c r="AY654" s="4"/>
      <c r="AZ654" s="4"/>
      <c r="BA654" s="4"/>
      <c r="BB654" s="4"/>
      <c r="BC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c r="AP655" s="4"/>
      <c r="AQ655" s="4"/>
      <c r="AR655" s="4"/>
      <c r="AS655" s="4"/>
      <c r="AT655" s="4"/>
      <c r="AU655" s="4"/>
      <c r="AV655" s="4"/>
      <c r="AW655" s="4"/>
      <c r="AX655" s="4"/>
      <c r="AY655" s="4"/>
      <c r="AZ655" s="4"/>
      <c r="BA655" s="4"/>
      <c r="BB655" s="4"/>
      <c r="BC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c r="AP656" s="4"/>
      <c r="AQ656" s="4"/>
      <c r="AR656" s="4"/>
      <c r="AS656" s="4"/>
      <c r="AT656" s="4"/>
      <c r="AU656" s="4"/>
      <c r="AV656" s="4"/>
      <c r="AW656" s="4"/>
      <c r="AX656" s="4"/>
      <c r="AY656" s="4"/>
      <c r="AZ656" s="4"/>
      <c r="BA656" s="4"/>
      <c r="BB656" s="4"/>
      <c r="BC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c r="AP657" s="4"/>
      <c r="AQ657" s="4"/>
      <c r="AR657" s="4"/>
      <c r="AS657" s="4"/>
      <c r="AT657" s="4"/>
      <c r="AU657" s="4"/>
      <c r="AV657" s="4"/>
      <c r="AW657" s="4"/>
      <c r="AX657" s="4"/>
      <c r="AY657" s="4"/>
      <c r="AZ657" s="4"/>
      <c r="BA657" s="4"/>
      <c r="BB657" s="4"/>
      <c r="BC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c r="AP658" s="4"/>
      <c r="AQ658" s="4"/>
      <c r="AR658" s="4"/>
      <c r="AS658" s="4"/>
      <c r="AT658" s="4"/>
      <c r="AU658" s="4"/>
      <c r="AV658" s="4"/>
      <c r="AW658" s="4"/>
      <c r="AX658" s="4"/>
      <c r="AY658" s="4"/>
      <c r="AZ658" s="4"/>
      <c r="BA658" s="4"/>
      <c r="BB658" s="4"/>
      <c r="BC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c r="AP659" s="4"/>
      <c r="AQ659" s="4"/>
      <c r="AR659" s="4"/>
      <c r="AS659" s="4"/>
      <c r="AT659" s="4"/>
      <c r="AU659" s="4"/>
      <c r="AV659" s="4"/>
      <c r="AW659" s="4"/>
      <c r="AX659" s="4"/>
      <c r="AY659" s="4"/>
      <c r="AZ659" s="4"/>
      <c r="BA659" s="4"/>
      <c r="BB659" s="4"/>
      <c r="BC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c r="AP660" s="4"/>
      <c r="AQ660" s="4"/>
      <c r="AR660" s="4"/>
      <c r="AS660" s="4"/>
      <c r="AT660" s="4"/>
      <c r="AU660" s="4"/>
      <c r="AV660" s="4"/>
      <c r="AW660" s="4"/>
      <c r="AX660" s="4"/>
      <c r="AY660" s="4"/>
      <c r="AZ660" s="4"/>
      <c r="BA660" s="4"/>
      <c r="BB660" s="4"/>
      <c r="BC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c r="AP661" s="4"/>
      <c r="AQ661" s="4"/>
      <c r="AR661" s="4"/>
      <c r="AS661" s="4"/>
      <c r="AT661" s="4"/>
      <c r="AU661" s="4"/>
      <c r="AV661" s="4"/>
      <c r="AW661" s="4"/>
      <c r="AX661" s="4"/>
      <c r="AY661" s="4"/>
      <c r="AZ661" s="4"/>
      <c r="BA661" s="4"/>
      <c r="BB661" s="4"/>
      <c r="BC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c r="AP662" s="4"/>
      <c r="AQ662" s="4"/>
      <c r="AR662" s="4"/>
      <c r="AS662" s="4"/>
      <c r="AT662" s="4"/>
      <c r="AU662" s="4"/>
      <c r="AV662" s="4"/>
      <c r="AW662" s="4"/>
      <c r="AX662" s="4"/>
      <c r="AY662" s="4"/>
      <c r="AZ662" s="4"/>
      <c r="BA662" s="4"/>
      <c r="BB662" s="4"/>
      <c r="BC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c r="AP663" s="4"/>
      <c r="AQ663" s="4"/>
      <c r="AR663" s="4"/>
      <c r="AS663" s="4"/>
      <c r="AT663" s="4"/>
      <c r="AU663" s="4"/>
      <c r="AV663" s="4"/>
      <c r="AW663" s="4"/>
      <c r="AX663" s="4"/>
      <c r="AY663" s="4"/>
      <c r="AZ663" s="4"/>
      <c r="BA663" s="4"/>
      <c r="BB663" s="4"/>
      <c r="BC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c r="AP664" s="4"/>
      <c r="AQ664" s="4"/>
      <c r="AR664" s="4"/>
      <c r="AS664" s="4"/>
      <c r="AT664" s="4"/>
      <c r="AU664" s="4"/>
      <c r="AV664" s="4"/>
      <c r="AW664" s="4"/>
      <c r="AX664" s="4"/>
      <c r="AY664" s="4"/>
      <c r="AZ664" s="4"/>
      <c r="BA664" s="4"/>
      <c r="BB664" s="4"/>
      <c r="BC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c r="AP665" s="4"/>
      <c r="AQ665" s="4"/>
      <c r="AR665" s="4"/>
      <c r="AS665" s="4"/>
      <c r="AT665" s="4"/>
      <c r="AU665" s="4"/>
      <c r="AV665" s="4"/>
      <c r="AW665" s="4"/>
      <c r="AX665" s="4"/>
      <c r="AY665" s="4"/>
      <c r="AZ665" s="4"/>
      <c r="BA665" s="4"/>
      <c r="BB665" s="4"/>
      <c r="BC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c r="AP666" s="4"/>
      <c r="AQ666" s="4"/>
      <c r="AR666" s="4"/>
      <c r="AS666" s="4"/>
      <c r="AT666" s="4"/>
      <c r="AU666" s="4"/>
      <c r="AV666" s="4"/>
      <c r="AW666" s="4"/>
      <c r="AX666" s="4"/>
      <c r="AY666" s="4"/>
      <c r="AZ666" s="4"/>
      <c r="BA666" s="4"/>
      <c r="BB666" s="4"/>
      <c r="BC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c r="AP667" s="4"/>
      <c r="AQ667" s="4"/>
      <c r="AR667" s="4"/>
      <c r="AS667" s="4"/>
      <c r="AT667" s="4"/>
      <c r="AU667" s="4"/>
      <c r="AV667" s="4"/>
      <c r="AW667" s="4"/>
      <c r="AX667" s="4"/>
      <c r="AY667" s="4"/>
      <c r="AZ667" s="4"/>
      <c r="BA667" s="4"/>
      <c r="BB667" s="4"/>
      <c r="BC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c r="AP668" s="4"/>
      <c r="AQ668" s="4"/>
      <c r="AR668" s="4"/>
      <c r="AS668" s="4"/>
      <c r="AT668" s="4"/>
      <c r="AU668" s="4"/>
      <c r="AV668" s="4"/>
      <c r="AW668" s="4"/>
      <c r="AX668" s="4"/>
      <c r="AY668" s="4"/>
      <c r="AZ668" s="4"/>
      <c r="BA668" s="4"/>
      <c r="BB668" s="4"/>
      <c r="BC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c r="AP669" s="4"/>
      <c r="AQ669" s="4"/>
      <c r="AR669" s="4"/>
      <c r="AS669" s="4"/>
      <c r="AT669" s="4"/>
      <c r="AU669" s="4"/>
      <c r="AV669" s="4"/>
      <c r="AW669" s="4"/>
      <c r="AX669" s="4"/>
      <c r="AY669" s="4"/>
      <c r="AZ669" s="4"/>
      <c r="BA669" s="4"/>
      <c r="BB669" s="4"/>
      <c r="BC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c r="AP670" s="4"/>
      <c r="AQ670" s="4"/>
      <c r="AR670" s="4"/>
      <c r="AS670" s="4"/>
      <c r="AT670" s="4"/>
      <c r="AU670" s="4"/>
      <c r="AV670" s="4"/>
      <c r="AW670" s="4"/>
      <c r="AX670" s="4"/>
      <c r="AY670" s="4"/>
      <c r="AZ670" s="4"/>
      <c r="BA670" s="4"/>
      <c r="BB670" s="4"/>
      <c r="BC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c r="AP671" s="4"/>
      <c r="AQ671" s="4"/>
      <c r="AR671" s="4"/>
      <c r="AS671" s="4"/>
      <c r="AT671" s="4"/>
      <c r="AU671" s="4"/>
      <c r="AV671" s="4"/>
      <c r="AW671" s="4"/>
      <c r="AX671" s="4"/>
      <c r="AY671" s="4"/>
      <c r="AZ671" s="4"/>
      <c r="BA671" s="4"/>
      <c r="BB671" s="4"/>
      <c r="BC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c r="AP672" s="4"/>
      <c r="AQ672" s="4"/>
      <c r="AR672" s="4"/>
      <c r="AS672" s="4"/>
      <c r="AT672" s="4"/>
      <c r="AU672" s="4"/>
      <c r="AV672" s="4"/>
      <c r="AW672" s="4"/>
      <c r="AX672" s="4"/>
      <c r="AY672" s="4"/>
      <c r="AZ672" s="4"/>
      <c r="BA672" s="4"/>
      <c r="BB672" s="4"/>
      <c r="BC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c r="AP673" s="4"/>
      <c r="AQ673" s="4"/>
      <c r="AR673" s="4"/>
      <c r="AS673" s="4"/>
      <c r="AT673" s="4"/>
      <c r="AU673" s="4"/>
      <c r="AV673" s="4"/>
      <c r="AW673" s="4"/>
      <c r="AX673" s="4"/>
      <c r="AY673" s="4"/>
      <c r="AZ673" s="4"/>
      <c r="BA673" s="4"/>
      <c r="BB673" s="4"/>
      <c r="BC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c r="AP674" s="4"/>
      <c r="AQ674" s="4"/>
      <c r="AR674" s="4"/>
      <c r="AS674" s="4"/>
      <c r="AT674" s="4"/>
      <c r="AU674" s="4"/>
      <c r="AV674" s="4"/>
      <c r="AW674" s="4"/>
      <c r="AX674" s="4"/>
      <c r="AY674" s="4"/>
      <c r="AZ674" s="4"/>
      <c r="BA674" s="4"/>
      <c r="BB674" s="4"/>
      <c r="BC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c r="AP675" s="4"/>
      <c r="AQ675" s="4"/>
      <c r="AR675" s="4"/>
      <c r="AS675" s="4"/>
      <c r="AT675" s="4"/>
      <c r="AU675" s="4"/>
      <c r="AV675" s="4"/>
      <c r="AW675" s="4"/>
      <c r="AX675" s="4"/>
      <c r="AY675" s="4"/>
      <c r="AZ675" s="4"/>
      <c r="BA675" s="4"/>
      <c r="BB675" s="4"/>
      <c r="BC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c r="AP676" s="4"/>
      <c r="AQ676" s="4"/>
      <c r="AR676" s="4"/>
      <c r="AS676" s="4"/>
      <c r="AT676" s="4"/>
      <c r="AU676" s="4"/>
      <c r="AV676" s="4"/>
      <c r="AW676" s="4"/>
      <c r="AX676" s="4"/>
      <c r="AY676" s="4"/>
      <c r="AZ676" s="4"/>
      <c r="BA676" s="4"/>
      <c r="BB676" s="4"/>
      <c r="BC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c r="AP677" s="4"/>
      <c r="AQ677" s="4"/>
      <c r="AR677" s="4"/>
      <c r="AS677" s="4"/>
      <c r="AT677" s="4"/>
      <c r="AU677" s="4"/>
      <c r="AV677" s="4"/>
      <c r="AW677" s="4"/>
      <c r="AX677" s="4"/>
      <c r="AY677" s="4"/>
      <c r="AZ677" s="4"/>
      <c r="BA677" s="4"/>
      <c r="BB677" s="4"/>
      <c r="BC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c r="AP678" s="4"/>
      <c r="AQ678" s="4"/>
      <c r="AR678" s="4"/>
      <c r="AS678" s="4"/>
      <c r="AT678" s="4"/>
      <c r="AU678" s="4"/>
      <c r="AV678" s="4"/>
      <c r="AW678" s="4"/>
      <c r="AX678" s="4"/>
      <c r="AY678" s="4"/>
      <c r="AZ678" s="4"/>
      <c r="BA678" s="4"/>
      <c r="BB678" s="4"/>
      <c r="BC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c r="AP679" s="4"/>
      <c r="AQ679" s="4"/>
      <c r="AR679" s="4"/>
      <c r="AS679" s="4"/>
      <c r="AT679" s="4"/>
      <c r="AU679" s="4"/>
      <c r="AV679" s="4"/>
      <c r="AW679" s="4"/>
      <c r="AX679" s="4"/>
      <c r="AY679" s="4"/>
      <c r="AZ679" s="4"/>
      <c r="BA679" s="4"/>
      <c r="BB679" s="4"/>
      <c r="BC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c r="AP680" s="4"/>
      <c r="AQ680" s="4"/>
      <c r="AR680" s="4"/>
      <c r="AS680" s="4"/>
      <c r="AT680" s="4"/>
      <c r="AU680" s="4"/>
      <c r="AV680" s="4"/>
      <c r="AW680" s="4"/>
      <c r="AX680" s="4"/>
      <c r="AY680" s="4"/>
      <c r="AZ680" s="4"/>
      <c r="BA680" s="4"/>
      <c r="BB680" s="4"/>
      <c r="BC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c r="AP681" s="4"/>
      <c r="AQ681" s="4"/>
      <c r="AR681" s="4"/>
      <c r="AS681" s="4"/>
      <c r="AT681" s="4"/>
      <c r="AU681" s="4"/>
      <c r="AV681" s="4"/>
      <c r="AW681" s="4"/>
      <c r="AX681" s="4"/>
      <c r="AY681" s="4"/>
      <c r="AZ681" s="4"/>
      <c r="BA681" s="4"/>
      <c r="BB681" s="4"/>
      <c r="BC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c r="AP682" s="4"/>
      <c r="AQ682" s="4"/>
      <c r="AR682" s="4"/>
      <c r="AS682" s="4"/>
      <c r="AT682" s="4"/>
      <c r="AU682" s="4"/>
      <c r="AV682" s="4"/>
      <c r="AW682" s="4"/>
      <c r="AX682" s="4"/>
      <c r="AY682" s="4"/>
      <c r="AZ682" s="4"/>
      <c r="BA682" s="4"/>
      <c r="BB682" s="4"/>
      <c r="BC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c r="AP683" s="4"/>
      <c r="AQ683" s="4"/>
      <c r="AR683" s="4"/>
      <c r="AS683" s="4"/>
      <c r="AT683" s="4"/>
      <c r="AU683" s="4"/>
      <c r="AV683" s="4"/>
      <c r="AW683" s="4"/>
      <c r="AX683" s="4"/>
      <c r="AY683" s="4"/>
      <c r="AZ683" s="4"/>
      <c r="BA683" s="4"/>
      <c r="BB683" s="4"/>
      <c r="BC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c r="AP684" s="4"/>
      <c r="AQ684" s="4"/>
      <c r="AR684" s="4"/>
      <c r="AS684" s="4"/>
      <c r="AT684" s="4"/>
      <c r="AU684" s="4"/>
      <c r="AV684" s="4"/>
      <c r="AW684" s="4"/>
      <c r="AX684" s="4"/>
      <c r="AY684" s="4"/>
      <c r="AZ684" s="4"/>
      <c r="BA684" s="4"/>
      <c r="BB684" s="4"/>
      <c r="BC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c r="AP685" s="4"/>
      <c r="AQ685" s="4"/>
      <c r="AR685" s="4"/>
      <c r="AS685" s="4"/>
      <c r="AT685" s="4"/>
      <c r="AU685" s="4"/>
      <c r="AV685" s="4"/>
      <c r="AW685" s="4"/>
      <c r="AX685" s="4"/>
      <c r="AY685" s="4"/>
      <c r="AZ685" s="4"/>
      <c r="BA685" s="4"/>
      <c r="BB685" s="4"/>
      <c r="BC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c r="AP686" s="4"/>
      <c r="AQ686" s="4"/>
      <c r="AR686" s="4"/>
      <c r="AS686" s="4"/>
      <c r="AT686" s="4"/>
      <c r="AU686" s="4"/>
      <c r="AV686" s="4"/>
      <c r="AW686" s="4"/>
      <c r="AX686" s="4"/>
      <c r="AY686" s="4"/>
      <c r="AZ686" s="4"/>
      <c r="BA686" s="4"/>
      <c r="BB686" s="4"/>
      <c r="BC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c r="AP687" s="4"/>
      <c r="AQ687" s="4"/>
      <c r="AR687" s="4"/>
      <c r="AS687" s="4"/>
      <c r="AT687" s="4"/>
      <c r="AU687" s="4"/>
      <c r="AV687" s="4"/>
      <c r="AW687" s="4"/>
      <c r="AX687" s="4"/>
      <c r="AY687" s="4"/>
      <c r="AZ687" s="4"/>
      <c r="BA687" s="4"/>
      <c r="BB687" s="4"/>
      <c r="BC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c r="AP688" s="4"/>
      <c r="AQ688" s="4"/>
      <c r="AR688" s="4"/>
      <c r="AS688" s="4"/>
      <c r="AT688" s="4"/>
      <c r="AU688" s="4"/>
      <c r="AV688" s="4"/>
      <c r="AW688" s="4"/>
      <c r="AX688" s="4"/>
      <c r="AY688" s="4"/>
      <c r="AZ688" s="4"/>
      <c r="BA688" s="4"/>
      <c r="BB688" s="4"/>
      <c r="BC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c r="AP689" s="4"/>
      <c r="AQ689" s="4"/>
      <c r="AR689" s="4"/>
      <c r="AS689" s="4"/>
      <c r="AT689" s="4"/>
      <c r="AU689" s="4"/>
      <c r="AV689" s="4"/>
      <c r="AW689" s="4"/>
      <c r="AX689" s="4"/>
      <c r="AY689" s="4"/>
      <c r="AZ689" s="4"/>
      <c r="BA689" s="4"/>
      <c r="BB689" s="4"/>
      <c r="BC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c r="AP690" s="4"/>
      <c r="AQ690" s="4"/>
      <c r="AR690" s="4"/>
      <c r="AS690" s="4"/>
      <c r="AT690" s="4"/>
      <c r="AU690" s="4"/>
      <c r="AV690" s="4"/>
      <c r="AW690" s="4"/>
      <c r="AX690" s="4"/>
      <c r="AY690" s="4"/>
      <c r="AZ690" s="4"/>
      <c r="BA690" s="4"/>
      <c r="BB690" s="4"/>
      <c r="BC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c r="AP691" s="4"/>
      <c r="AQ691" s="4"/>
      <c r="AR691" s="4"/>
      <c r="AS691" s="4"/>
      <c r="AT691" s="4"/>
      <c r="AU691" s="4"/>
      <c r="AV691" s="4"/>
      <c r="AW691" s="4"/>
      <c r="AX691" s="4"/>
      <c r="AY691" s="4"/>
      <c r="AZ691" s="4"/>
      <c r="BA691" s="4"/>
      <c r="BB691" s="4"/>
      <c r="BC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c r="AP692" s="4"/>
      <c r="AQ692" s="4"/>
      <c r="AR692" s="4"/>
      <c r="AS692" s="4"/>
      <c r="AT692" s="4"/>
      <c r="AU692" s="4"/>
      <c r="AV692" s="4"/>
      <c r="AW692" s="4"/>
      <c r="AX692" s="4"/>
      <c r="AY692" s="4"/>
      <c r="AZ692" s="4"/>
      <c r="BA692" s="4"/>
      <c r="BB692" s="4"/>
      <c r="BC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c r="AP693" s="4"/>
      <c r="AQ693" s="4"/>
      <c r="AR693" s="4"/>
      <c r="AS693" s="4"/>
      <c r="AT693" s="4"/>
      <c r="AU693" s="4"/>
      <c r="AV693" s="4"/>
      <c r="AW693" s="4"/>
      <c r="AX693" s="4"/>
      <c r="AY693" s="4"/>
      <c r="AZ693" s="4"/>
      <c r="BA693" s="4"/>
      <c r="BB693" s="4"/>
      <c r="BC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c r="AP694" s="4"/>
      <c r="AQ694" s="4"/>
      <c r="AR694" s="4"/>
      <c r="AS694" s="4"/>
      <c r="AT694" s="4"/>
      <c r="AU694" s="4"/>
      <c r="AV694" s="4"/>
      <c r="AW694" s="4"/>
      <c r="AX694" s="4"/>
      <c r="AY694" s="4"/>
      <c r="AZ694" s="4"/>
      <c r="BA694" s="4"/>
      <c r="BB694" s="4"/>
      <c r="BC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c r="AP695" s="4"/>
      <c r="AQ695" s="4"/>
      <c r="AR695" s="4"/>
      <c r="AS695" s="4"/>
      <c r="AT695" s="4"/>
      <c r="AU695" s="4"/>
      <c r="AV695" s="4"/>
      <c r="AW695" s="4"/>
      <c r="AX695" s="4"/>
      <c r="AY695" s="4"/>
      <c r="AZ695" s="4"/>
      <c r="BA695" s="4"/>
      <c r="BB695" s="4"/>
      <c r="BC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c r="AP696" s="4"/>
      <c r="AQ696" s="4"/>
      <c r="AR696" s="4"/>
      <c r="AS696" s="4"/>
      <c r="AT696" s="4"/>
      <c r="AU696" s="4"/>
      <c r="AV696" s="4"/>
      <c r="AW696" s="4"/>
      <c r="AX696" s="4"/>
      <c r="AY696" s="4"/>
      <c r="AZ696" s="4"/>
      <c r="BA696" s="4"/>
      <c r="BB696" s="4"/>
      <c r="BC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c r="AP697" s="4"/>
      <c r="AQ697" s="4"/>
      <c r="AR697" s="4"/>
      <c r="AS697" s="4"/>
      <c r="AT697" s="4"/>
      <c r="AU697" s="4"/>
      <c r="AV697" s="4"/>
      <c r="AW697" s="4"/>
      <c r="AX697" s="4"/>
      <c r="AY697" s="4"/>
      <c r="AZ697" s="4"/>
      <c r="BA697" s="4"/>
      <c r="BB697" s="4"/>
      <c r="BC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c r="AP698" s="4"/>
      <c r="AQ698" s="4"/>
      <c r="AR698" s="4"/>
      <c r="AS698" s="4"/>
      <c r="AT698" s="4"/>
      <c r="AU698" s="4"/>
      <c r="AV698" s="4"/>
      <c r="AW698" s="4"/>
      <c r="AX698" s="4"/>
      <c r="AY698" s="4"/>
      <c r="AZ698" s="4"/>
      <c r="BA698" s="4"/>
      <c r="BB698" s="4"/>
      <c r="BC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c r="AP699" s="4"/>
      <c r="AQ699" s="4"/>
      <c r="AR699" s="4"/>
      <c r="AS699" s="4"/>
      <c r="AT699" s="4"/>
      <c r="AU699" s="4"/>
      <c r="AV699" s="4"/>
      <c r="AW699" s="4"/>
      <c r="AX699" s="4"/>
      <c r="AY699" s="4"/>
      <c r="AZ699" s="4"/>
      <c r="BA699" s="4"/>
      <c r="BB699" s="4"/>
      <c r="BC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c r="AP700" s="4"/>
      <c r="AQ700" s="4"/>
      <c r="AR700" s="4"/>
      <c r="AS700" s="4"/>
      <c r="AT700" s="4"/>
      <c r="AU700" s="4"/>
      <c r="AV700" s="4"/>
      <c r="AW700" s="4"/>
      <c r="AX700" s="4"/>
      <c r="AY700" s="4"/>
      <c r="AZ700" s="4"/>
      <c r="BA700" s="4"/>
      <c r="BB700" s="4"/>
      <c r="BC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c r="AP701" s="4"/>
      <c r="AQ701" s="4"/>
      <c r="AR701" s="4"/>
      <c r="AS701" s="4"/>
      <c r="AT701" s="4"/>
      <c r="AU701" s="4"/>
      <c r="AV701" s="4"/>
      <c r="AW701" s="4"/>
      <c r="AX701" s="4"/>
      <c r="AY701" s="4"/>
      <c r="AZ701" s="4"/>
      <c r="BA701" s="4"/>
      <c r="BB701" s="4"/>
      <c r="BC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c r="AP702" s="4"/>
      <c r="AQ702" s="4"/>
      <c r="AR702" s="4"/>
      <c r="AS702" s="4"/>
      <c r="AT702" s="4"/>
      <c r="AU702" s="4"/>
      <c r="AV702" s="4"/>
      <c r="AW702" s="4"/>
      <c r="AX702" s="4"/>
      <c r="AY702" s="4"/>
      <c r="AZ702" s="4"/>
      <c r="BA702" s="4"/>
      <c r="BB702" s="4"/>
      <c r="BC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c r="AP703" s="4"/>
      <c r="AQ703" s="4"/>
      <c r="AR703" s="4"/>
      <c r="AS703" s="4"/>
      <c r="AT703" s="4"/>
      <c r="AU703" s="4"/>
      <c r="AV703" s="4"/>
      <c r="AW703" s="4"/>
      <c r="AX703" s="4"/>
      <c r="AY703" s="4"/>
      <c r="AZ703" s="4"/>
      <c r="BA703" s="4"/>
      <c r="BB703" s="4"/>
      <c r="BC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c r="AP704" s="4"/>
      <c r="AQ704" s="4"/>
      <c r="AR704" s="4"/>
      <c r="AS704" s="4"/>
      <c r="AT704" s="4"/>
      <c r="AU704" s="4"/>
      <c r="AV704" s="4"/>
      <c r="AW704" s="4"/>
      <c r="AX704" s="4"/>
      <c r="AY704" s="4"/>
      <c r="AZ704" s="4"/>
      <c r="BA704" s="4"/>
      <c r="BB704" s="4"/>
      <c r="BC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c r="AP705" s="4"/>
      <c r="AQ705" s="4"/>
      <c r="AR705" s="4"/>
      <c r="AS705" s="4"/>
      <c r="AT705" s="4"/>
      <c r="AU705" s="4"/>
      <c r="AV705" s="4"/>
      <c r="AW705" s="4"/>
      <c r="AX705" s="4"/>
      <c r="AY705" s="4"/>
      <c r="AZ705" s="4"/>
      <c r="BA705" s="4"/>
      <c r="BB705" s="4"/>
      <c r="BC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c r="AP706" s="4"/>
      <c r="AQ706" s="4"/>
      <c r="AR706" s="4"/>
      <c r="AS706" s="4"/>
      <c r="AT706" s="4"/>
      <c r="AU706" s="4"/>
      <c r="AV706" s="4"/>
      <c r="AW706" s="4"/>
      <c r="AX706" s="4"/>
      <c r="AY706" s="4"/>
      <c r="AZ706" s="4"/>
      <c r="BA706" s="4"/>
      <c r="BB706" s="4"/>
      <c r="BC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c r="AP707" s="4"/>
      <c r="AQ707" s="4"/>
      <c r="AR707" s="4"/>
      <c r="AS707" s="4"/>
      <c r="AT707" s="4"/>
      <c r="AU707" s="4"/>
      <c r="AV707" s="4"/>
      <c r="AW707" s="4"/>
      <c r="AX707" s="4"/>
      <c r="AY707" s="4"/>
      <c r="AZ707" s="4"/>
      <c r="BA707" s="4"/>
      <c r="BB707" s="4"/>
      <c r="BC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c r="AP708" s="4"/>
      <c r="AQ708" s="4"/>
      <c r="AR708" s="4"/>
      <c r="AS708" s="4"/>
      <c r="AT708" s="4"/>
      <c r="AU708" s="4"/>
      <c r="AV708" s="4"/>
      <c r="AW708" s="4"/>
      <c r="AX708" s="4"/>
      <c r="AY708" s="4"/>
      <c r="AZ708" s="4"/>
      <c r="BA708" s="4"/>
      <c r="BB708" s="4"/>
      <c r="BC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c r="AP709" s="4"/>
      <c r="AQ709" s="4"/>
      <c r="AR709" s="4"/>
      <c r="AS709" s="4"/>
      <c r="AT709" s="4"/>
      <c r="AU709" s="4"/>
      <c r="AV709" s="4"/>
      <c r="AW709" s="4"/>
      <c r="AX709" s="4"/>
      <c r="AY709" s="4"/>
      <c r="AZ709" s="4"/>
      <c r="BA709" s="4"/>
      <c r="BB709" s="4"/>
      <c r="BC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c r="AP710" s="4"/>
      <c r="AQ710" s="4"/>
      <c r="AR710" s="4"/>
      <c r="AS710" s="4"/>
      <c r="AT710" s="4"/>
      <c r="AU710" s="4"/>
      <c r="AV710" s="4"/>
      <c r="AW710" s="4"/>
      <c r="AX710" s="4"/>
      <c r="AY710" s="4"/>
      <c r="AZ710" s="4"/>
      <c r="BA710" s="4"/>
      <c r="BB710" s="4"/>
      <c r="BC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c r="AP711" s="4"/>
      <c r="AQ711" s="4"/>
      <c r="AR711" s="4"/>
      <c r="AS711" s="4"/>
      <c r="AT711" s="4"/>
      <c r="AU711" s="4"/>
      <c r="AV711" s="4"/>
      <c r="AW711" s="4"/>
      <c r="AX711" s="4"/>
      <c r="AY711" s="4"/>
      <c r="AZ711" s="4"/>
      <c r="BA711" s="4"/>
      <c r="BB711" s="4"/>
      <c r="BC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c r="AP712" s="4"/>
      <c r="AQ712" s="4"/>
      <c r="AR712" s="4"/>
      <c r="AS712" s="4"/>
      <c r="AT712" s="4"/>
      <c r="AU712" s="4"/>
      <c r="AV712" s="4"/>
      <c r="AW712" s="4"/>
      <c r="AX712" s="4"/>
      <c r="AY712" s="4"/>
      <c r="AZ712" s="4"/>
      <c r="BA712" s="4"/>
      <c r="BB712" s="4"/>
      <c r="BC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c r="AP713" s="4"/>
      <c r="AQ713" s="4"/>
      <c r="AR713" s="4"/>
      <c r="AS713" s="4"/>
      <c r="AT713" s="4"/>
      <c r="AU713" s="4"/>
      <c r="AV713" s="4"/>
      <c r="AW713" s="4"/>
      <c r="AX713" s="4"/>
      <c r="AY713" s="4"/>
      <c r="AZ713" s="4"/>
      <c r="BA713" s="4"/>
      <c r="BB713" s="4"/>
      <c r="BC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c r="AP714" s="4"/>
      <c r="AQ714" s="4"/>
      <c r="AR714" s="4"/>
      <c r="AS714" s="4"/>
      <c r="AT714" s="4"/>
      <c r="AU714" s="4"/>
      <c r="AV714" s="4"/>
      <c r="AW714" s="4"/>
      <c r="AX714" s="4"/>
      <c r="AY714" s="4"/>
      <c r="AZ714" s="4"/>
      <c r="BA714" s="4"/>
      <c r="BB714" s="4"/>
      <c r="BC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c r="AP715" s="4"/>
      <c r="AQ715" s="4"/>
      <c r="AR715" s="4"/>
      <c r="AS715" s="4"/>
      <c r="AT715" s="4"/>
      <c r="AU715" s="4"/>
      <c r="AV715" s="4"/>
      <c r="AW715" s="4"/>
      <c r="AX715" s="4"/>
      <c r="AY715" s="4"/>
      <c r="AZ715" s="4"/>
      <c r="BA715" s="4"/>
      <c r="BB715" s="4"/>
      <c r="BC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c r="AP716" s="4"/>
      <c r="AQ716" s="4"/>
      <c r="AR716" s="4"/>
      <c r="AS716" s="4"/>
      <c r="AT716" s="4"/>
      <c r="AU716" s="4"/>
      <c r="AV716" s="4"/>
      <c r="AW716" s="4"/>
      <c r="AX716" s="4"/>
      <c r="AY716" s="4"/>
      <c r="AZ716" s="4"/>
      <c r="BA716" s="4"/>
      <c r="BB716" s="4"/>
      <c r="BC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c r="AP717" s="4"/>
      <c r="AQ717" s="4"/>
      <c r="AR717" s="4"/>
      <c r="AS717" s="4"/>
      <c r="AT717" s="4"/>
      <c r="AU717" s="4"/>
      <c r="AV717" s="4"/>
      <c r="AW717" s="4"/>
      <c r="AX717" s="4"/>
      <c r="AY717" s="4"/>
      <c r="AZ717" s="4"/>
      <c r="BA717" s="4"/>
      <c r="BB717" s="4"/>
      <c r="BC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c r="AP718" s="4"/>
      <c r="AQ718" s="4"/>
      <c r="AR718" s="4"/>
      <c r="AS718" s="4"/>
      <c r="AT718" s="4"/>
      <c r="AU718" s="4"/>
      <c r="AV718" s="4"/>
      <c r="AW718" s="4"/>
      <c r="AX718" s="4"/>
      <c r="AY718" s="4"/>
      <c r="AZ718" s="4"/>
      <c r="BA718" s="4"/>
      <c r="BB718" s="4"/>
      <c r="BC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c r="AP719" s="4"/>
      <c r="AQ719" s="4"/>
      <c r="AR719" s="4"/>
      <c r="AS719" s="4"/>
      <c r="AT719" s="4"/>
      <c r="AU719" s="4"/>
      <c r="AV719" s="4"/>
      <c r="AW719" s="4"/>
      <c r="AX719" s="4"/>
      <c r="AY719" s="4"/>
      <c r="AZ719" s="4"/>
      <c r="BA719" s="4"/>
      <c r="BB719" s="4"/>
      <c r="BC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c r="AP720" s="4"/>
      <c r="AQ720" s="4"/>
      <c r="AR720" s="4"/>
      <c r="AS720" s="4"/>
      <c r="AT720" s="4"/>
      <c r="AU720" s="4"/>
      <c r="AV720" s="4"/>
      <c r="AW720" s="4"/>
      <c r="AX720" s="4"/>
      <c r="AY720" s="4"/>
      <c r="AZ720" s="4"/>
      <c r="BA720" s="4"/>
      <c r="BB720" s="4"/>
      <c r="BC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c r="AP721" s="4"/>
      <c r="AQ721" s="4"/>
      <c r="AR721" s="4"/>
      <c r="AS721" s="4"/>
      <c r="AT721" s="4"/>
      <c r="AU721" s="4"/>
      <c r="AV721" s="4"/>
      <c r="AW721" s="4"/>
      <c r="AX721" s="4"/>
      <c r="AY721" s="4"/>
      <c r="AZ721" s="4"/>
      <c r="BA721" s="4"/>
      <c r="BB721" s="4"/>
      <c r="BC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c r="AP722" s="4"/>
      <c r="AQ722" s="4"/>
      <c r="AR722" s="4"/>
      <c r="AS722" s="4"/>
      <c r="AT722" s="4"/>
      <c r="AU722" s="4"/>
      <c r="AV722" s="4"/>
      <c r="AW722" s="4"/>
      <c r="AX722" s="4"/>
      <c r="AY722" s="4"/>
      <c r="AZ722" s="4"/>
      <c r="BA722" s="4"/>
      <c r="BB722" s="4"/>
      <c r="BC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c r="AP723" s="4"/>
      <c r="AQ723" s="4"/>
      <c r="AR723" s="4"/>
      <c r="AS723" s="4"/>
      <c r="AT723" s="4"/>
      <c r="AU723" s="4"/>
      <c r="AV723" s="4"/>
      <c r="AW723" s="4"/>
      <c r="AX723" s="4"/>
      <c r="AY723" s="4"/>
      <c r="AZ723" s="4"/>
      <c r="BA723" s="4"/>
      <c r="BB723" s="4"/>
      <c r="BC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c r="AP724" s="4"/>
      <c r="AQ724" s="4"/>
      <c r="AR724" s="4"/>
      <c r="AS724" s="4"/>
      <c r="AT724" s="4"/>
      <c r="AU724" s="4"/>
      <c r="AV724" s="4"/>
      <c r="AW724" s="4"/>
      <c r="AX724" s="4"/>
      <c r="AY724" s="4"/>
      <c r="AZ724" s="4"/>
      <c r="BA724" s="4"/>
      <c r="BB724" s="4"/>
      <c r="BC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c r="AP725" s="4"/>
      <c r="AQ725" s="4"/>
      <c r="AR725" s="4"/>
      <c r="AS725" s="4"/>
      <c r="AT725" s="4"/>
      <c r="AU725" s="4"/>
      <c r="AV725" s="4"/>
      <c r="AW725" s="4"/>
      <c r="AX725" s="4"/>
      <c r="AY725" s="4"/>
      <c r="AZ725" s="4"/>
      <c r="BA725" s="4"/>
      <c r="BB725" s="4"/>
      <c r="BC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c r="AP726" s="4"/>
      <c r="AQ726" s="4"/>
      <c r="AR726" s="4"/>
      <c r="AS726" s="4"/>
      <c r="AT726" s="4"/>
      <c r="AU726" s="4"/>
      <c r="AV726" s="4"/>
      <c r="AW726" s="4"/>
      <c r="AX726" s="4"/>
      <c r="AY726" s="4"/>
      <c r="AZ726" s="4"/>
      <c r="BA726" s="4"/>
      <c r="BB726" s="4"/>
      <c r="BC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c r="AP727" s="4"/>
      <c r="AQ727" s="4"/>
      <c r="AR727" s="4"/>
      <c r="AS727" s="4"/>
      <c r="AT727" s="4"/>
      <c r="AU727" s="4"/>
      <c r="AV727" s="4"/>
      <c r="AW727" s="4"/>
      <c r="AX727" s="4"/>
      <c r="AY727" s="4"/>
      <c r="AZ727" s="4"/>
      <c r="BA727" s="4"/>
      <c r="BB727" s="4"/>
      <c r="BC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c r="AP728" s="4"/>
      <c r="AQ728" s="4"/>
      <c r="AR728" s="4"/>
      <c r="AS728" s="4"/>
      <c r="AT728" s="4"/>
      <c r="AU728" s="4"/>
      <c r="AV728" s="4"/>
      <c r="AW728" s="4"/>
      <c r="AX728" s="4"/>
      <c r="AY728" s="4"/>
      <c r="AZ728" s="4"/>
      <c r="BA728" s="4"/>
      <c r="BB728" s="4"/>
      <c r="BC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c r="AP729" s="4"/>
      <c r="AQ729" s="4"/>
      <c r="AR729" s="4"/>
      <c r="AS729" s="4"/>
      <c r="AT729" s="4"/>
      <c r="AU729" s="4"/>
      <c r="AV729" s="4"/>
      <c r="AW729" s="4"/>
      <c r="AX729" s="4"/>
      <c r="AY729" s="4"/>
      <c r="AZ729" s="4"/>
      <c r="BA729" s="4"/>
      <c r="BB729" s="4"/>
      <c r="BC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c r="AP730" s="4"/>
      <c r="AQ730" s="4"/>
      <c r="AR730" s="4"/>
      <c r="AS730" s="4"/>
      <c r="AT730" s="4"/>
      <c r="AU730" s="4"/>
      <c r="AV730" s="4"/>
      <c r="AW730" s="4"/>
      <c r="AX730" s="4"/>
      <c r="AY730" s="4"/>
      <c r="AZ730" s="4"/>
      <c r="BA730" s="4"/>
      <c r="BB730" s="4"/>
      <c r="BC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c r="AP731" s="4"/>
      <c r="AQ731" s="4"/>
      <c r="AR731" s="4"/>
      <c r="AS731" s="4"/>
      <c r="AT731" s="4"/>
      <c r="AU731" s="4"/>
      <c r="AV731" s="4"/>
      <c r="AW731" s="4"/>
      <c r="AX731" s="4"/>
      <c r="AY731" s="4"/>
      <c r="AZ731" s="4"/>
      <c r="BA731" s="4"/>
      <c r="BB731" s="4"/>
      <c r="BC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c r="AP732" s="4"/>
      <c r="AQ732" s="4"/>
      <c r="AR732" s="4"/>
      <c r="AS732" s="4"/>
      <c r="AT732" s="4"/>
      <c r="AU732" s="4"/>
      <c r="AV732" s="4"/>
      <c r="AW732" s="4"/>
      <c r="AX732" s="4"/>
      <c r="AY732" s="4"/>
      <c r="AZ732" s="4"/>
      <c r="BA732" s="4"/>
      <c r="BB732" s="4"/>
      <c r="BC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c r="AP733" s="4"/>
      <c r="AQ733" s="4"/>
      <c r="AR733" s="4"/>
      <c r="AS733" s="4"/>
      <c r="AT733" s="4"/>
      <c r="AU733" s="4"/>
      <c r="AV733" s="4"/>
      <c r="AW733" s="4"/>
      <c r="AX733" s="4"/>
      <c r="AY733" s="4"/>
      <c r="AZ733" s="4"/>
      <c r="BA733" s="4"/>
      <c r="BB733" s="4"/>
      <c r="BC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c r="AP734" s="4"/>
      <c r="AQ734" s="4"/>
      <c r="AR734" s="4"/>
      <c r="AS734" s="4"/>
      <c r="AT734" s="4"/>
      <c r="AU734" s="4"/>
      <c r="AV734" s="4"/>
      <c r="AW734" s="4"/>
      <c r="AX734" s="4"/>
      <c r="AY734" s="4"/>
      <c r="AZ734" s="4"/>
      <c r="BA734" s="4"/>
      <c r="BB734" s="4"/>
      <c r="BC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c r="AP735" s="4"/>
      <c r="AQ735" s="4"/>
      <c r="AR735" s="4"/>
      <c r="AS735" s="4"/>
      <c r="AT735" s="4"/>
      <c r="AU735" s="4"/>
      <c r="AV735" s="4"/>
      <c r="AW735" s="4"/>
      <c r="AX735" s="4"/>
      <c r="AY735" s="4"/>
      <c r="AZ735" s="4"/>
      <c r="BA735" s="4"/>
      <c r="BB735" s="4"/>
      <c r="BC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c r="AP736" s="4"/>
      <c r="AQ736" s="4"/>
      <c r="AR736" s="4"/>
      <c r="AS736" s="4"/>
      <c r="AT736" s="4"/>
      <c r="AU736" s="4"/>
      <c r="AV736" s="4"/>
      <c r="AW736" s="4"/>
      <c r="AX736" s="4"/>
      <c r="AY736" s="4"/>
      <c r="AZ736" s="4"/>
      <c r="BA736" s="4"/>
      <c r="BB736" s="4"/>
      <c r="BC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c r="AP737" s="4"/>
      <c r="AQ737" s="4"/>
      <c r="AR737" s="4"/>
      <c r="AS737" s="4"/>
      <c r="AT737" s="4"/>
      <c r="AU737" s="4"/>
      <c r="AV737" s="4"/>
      <c r="AW737" s="4"/>
      <c r="AX737" s="4"/>
      <c r="AY737" s="4"/>
      <c r="AZ737" s="4"/>
      <c r="BA737" s="4"/>
      <c r="BB737" s="4"/>
      <c r="BC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c r="AP738" s="4"/>
      <c r="AQ738" s="4"/>
      <c r="AR738" s="4"/>
      <c r="AS738" s="4"/>
      <c r="AT738" s="4"/>
      <c r="AU738" s="4"/>
      <c r="AV738" s="4"/>
      <c r="AW738" s="4"/>
      <c r="AX738" s="4"/>
      <c r="AY738" s="4"/>
      <c r="AZ738" s="4"/>
      <c r="BA738" s="4"/>
      <c r="BB738" s="4"/>
      <c r="BC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c r="AP739" s="4"/>
      <c r="AQ739" s="4"/>
      <c r="AR739" s="4"/>
      <c r="AS739" s="4"/>
      <c r="AT739" s="4"/>
      <c r="AU739" s="4"/>
      <c r="AV739" s="4"/>
      <c r="AW739" s="4"/>
      <c r="AX739" s="4"/>
      <c r="AY739" s="4"/>
      <c r="AZ739" s="4"/>
      <c r="BA739" s="4"/>
      <c r="BB739" s="4"/>
      <c r="BC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c r="AP740" s="4"/>
      <c r="AQ740" s="4"/>
      <c r="AR740" s="4"/>
      <c r="AS740" s="4"/>
      <c r="AT740" s="4"/>
      <c r="AU740" s="4"/>
      <c r="AV740" s="4"/>
      <c r="AW740" s="4"/>
      <c r="AX740" s="4"/>
      <c r="AY740" s="4"/>
      <c r="AZ740" s="4"/>
      <c r="BA740" s="4"/>
      <c r="BB740" s="4"/>
      <c r="BC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c r="AP741" s="4"/>
      <c r="AQ741" s="4"/>
      <c r="AR741" s="4"/>
      <c r="AS741" s="4"/>
      <c r="AT741" s="4"/>
      <c r="AU741" s="4"/>
      <c r="AV741" s="4"/>
      <c r="AW741" s="4"/>
      <c r="AX741" s="4"/>
      <c r="AY741" s="4"/>
      <c r="AZ741" s="4"/>
      <c r="BA741" s="4"/>
      <c r="BB741" s="4"/>
      <c r="BC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c r="AP742" s="4"/>
      <c r="AQ742" s="4"/>
      <c r="AR742" s="4"/>
      <c r="AS742" s="4"/>
      <c r="AT742" s="4"/>
      <c r="AU742" s="4"/>
      <c r="AV742" s="4"/>
      <c r="AW742" s="4"/>
      <c r="AX742" s="4"/>
      <c r="AY742" s="4"/>
      <c r="AZ742" s="4"/>
      <c r="BA742" s="4"/>
      <c r="BB742" s="4"/>
      <c r="BC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c r="AP743" s="4"/>
      <c r="AQ743" s="4"/>
      <c r="AR743" s="4"/>
      <c r="AS743" s="4"/>
      <c r="AT743" s="4"/>
      <c r="AU743" s="4"/>
      <c r="AV743" s="4"/>
      <c r="AW743" s="4"/>
      <c r="AX743" s="4"/>
      <c r="AY743" s="4"/>
      <c r="AZ743" s="4"/>
      <c r="BA743" s="4"/>
      <c r="BB743" s="4"/>
      <c r="BC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c r="AP744" s="4"/>
      <c r="AQ744" s="4"/>
      <c r="AR744" s="4"/>
      <c r="AS744" s="4"/>
      <c r="AT744" s="4"/>
      <c r="AU744" s="4"/>
      <c r="AV744" s="4"/>
      <c r="AW744" s="4"/>
      <c r="AX744" s="4"/>
      <c r="AY744" s="4"/>
      <c r="AZ744" s="4"/>
      <c r="BA744" s="4"/>
      <c r="BB744" s="4"/>
      <c r="BC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c r="AP745" s="4"/>
      <c r="AQ745" s="4"/>
      <c r="AR745" s="4"/>
      <c r="AS745" s="4"/>
      <c r="AT745" s="4"/>
      <c r="AU745" s="4"/>
      <c r="AV745" s="4"/>
      <c r="AW745" s="4"/>
      <c r="AX745" s="4"/>
      <c r="AY745" s="4"/>
      <c r="AZ745" s="4"/>
      <c r="BA745" s="4"/>
      <c r="BB745" s="4"/>
      <c r="BC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c r="AP746" s="4"/>
      <c r="AQ746" s="4"/>
      <c r="AR746" s="4"/>
      <c r="AS746" s="4"/>
      <c r="AT746" s="4"/>
      <c r="AU746" s="4"/>
      <c r="AV746" s="4"/>
      <c r="AW746" s="4"/>
      <c r="AX746" s="4"/>
      <c r="AY746" s="4"/>
      <c r="AZ746" s="4"/>
      <c r="BA746" s="4"/>
      <c r="BB746" s="4"/>
      <c r="BC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c r="AP747" s="4"/>
      <c r="AQ747" s="4"/>
      <c r="AR747" s="4"/>
      <c r="AS747" s="4"/>
      <c r="AT747" s="4"/>
      <c r="AU747" s="4"/>
      <c r="AV747" s="4"/>
      <c r="AW747" s="4"/>
      <c r="AX747" s="4"/>
      <c r="AY747" s="4"/>
      <c r="AZ747" s="4"/>
      <c r="BA747" s="4"/>
      <c r="BB747" s="4"/>
      <c r="BC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c r="AP748" s="4"/>
      <c r="AQ748" s="4"/>
      <c r="AR748" s="4"/>
      <c r="AS748" s="4"/>
      <c r="AT748" s="4"/>
      <c r="AU748" s="4"/>
      <c r="AV748" s="4"/>
      <c r="AW748" s="4"/>
      <c r="AX748" s="4"/>
      <c r="AY748" s="4"/>
      <c r="AZ748" s="4"/>
      <c r="BA748" s="4"/>
      <c r="BB748" s="4"/>
      <c r="BC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c r="AP749" s="4"/>
      <c r="AQ749" s="4"/>
      <c r="AR749" s="4"/>
      <c r="AS749" s="4"/>
      <c r="AT749" s="4"/>
      <c r="AU749" s="4"/>
      <c r="AV749" s="4"/>
      <c r="AW749" s="4"/>
      <c r="AX749" s="4"/>
      <c r="AY749" s="4"/>
      <c r="AZ749" s="4"/>
      <c r="BA749" s="4"/>
      <c r="BB749" s="4"/>
      <c r="BC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c r="AP750" s="4"/>
      <c r="AQ750" s="4"/>
      <c r="AR750" s="4"/>
      <c r="AS750" s="4"/>
      <c r="AT750" s="4"/>
      <c r="AU750" s="4"/>
      <c r="AV750" s="4"/>
      <c r="AW750" s="4"/>
      <c r="AX750" s="4"/>
      <c r="AY750" s="4"/>
      <c r="AZ750" s="4"/>
      <c r="BA750" s="4"/>
      <c r="BB750" s="4"/>
      <c r="BC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c r="AP751" s="4"/>
      <c r="AQ751" s="4"/>
      <c r="AR751" s="4"/>
      <c r="AS751" s="4"/>
      <c r="AT751" s="4"/>
      <c r="AU751" s="4"/>
      <c r="AV751" s="4"/>
      <c r="AW751" s="4"/>
      <c r="AX751" s="4"/>
      <c r="AY751" s="4"/>
      <c r="AZ751" s="4"/>
      <c r="BA751" s="4"/>
      <c r="BB751" s="4"/>
      <c r="BC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c r="AP752" s="4"/>
      <c r="AQ752" s="4"/>
      <c r="AR752" s="4"/>
      <c r="AS752" s="4"/>
      <c r="AT752" s="4"/>
      <c r="AU752" s="4"/>
      <c r="AV752" s="4"/>
      <c r="AW752" s="4"/>
      <c r="AX752" s="4"/>
      <c r="AY752" s="4"/>
      <c r="AZ752" s="4"/>
      <c r="BA752" s="4"/>
      <c r="BB752" s="4"/>
      <c r="BC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c r="AP753" s="4"/>
      <c r="AQ753" s="4"/>
      <c r="AR753" s="4"/>
      <c r="AS753" s="4"/>
      <c r="AT753" s="4"/>
      <c r="AU753" s="4"/>
      <c r="AV753" s="4"/>
      <c r="AW753" s="4"/>
      <c r="AX753" s="4"/>
      <c r="AY753" s="4"/>
      <c r="AZ753" s="4"/>
      <c r="BA753" s="4"/>
      <c r="BB753" s="4"/>
      <c r="BC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c r="AP754" s="4"/>
      <c r="AQ754" s="4"/>
      <c r="AR754" s="4"/>
      <c r="AS754" s="4"/>
      <c r="AT754" s="4"/>
      <c r="AU754" s="4"/>
      <c r="AV754" s="4"/>
      <c r="AW754" s="4"/>
      <c r="AX754" s="4"/>
      <c r="AY754" s="4"/>
      <c r="AZ754" s="4"/>
      <c r="BA754" s="4"/>
      <c r="BB754" s="4"/>
      <c r="BC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c r="AP755" s="4"/>
      <c r="AQ755" s="4"/>
      <c r="AR755" s="4"/>
      <c r="AS755" s="4"/>
      <c r="AT755" s="4"/>
      <c r="AU755" s="4"/>
      <c r="AV755" s="4"/>
      <c r="AW755" s="4"/>
      <c r="AX755" s="4"/>
      <c r="AY755" s="4"/>
      <c r="AZ755" s="4"/>
      <c r="BA755" s="4"/>
      <c r="BB755" s="4"/>
      <c r="BC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c r="AP756" s="4"/>
      <c r="AQ756" s="4"/>
      <c r="AR756" s="4"/>
      <c r="AS756" s="4"/>
      <c r="AT756" s="4"/>
      <c r="AU756" s="4"/>
      <c r="AV756" s="4"/>
      <c r="AW756" s="4"/>
      <c r="AX756" s="4"/>
      <c r="AY756" s="4"/>
      <c r="AZ756" s="4"/>
      <c r="BA756" s="4"/>
      <c r="BB756" s="4"/>
      <c r="BC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c r="AP757" s="4"/>
      <c r="AQ757" s="4"/>
      <c r="AR757" s="4"/>
      <c r="AS757" s="4"/>
      <c r="AT757" s="4"/>
      <c r="AU757" s="4"/>
      <c r="AV757" s="4"/>
      <c r="AW757" s="4"/>
      <c r="AX757" s="4"/>
      <c r="AY757" s="4"/>
      <c r="AZ757" s="4"/>
      <c r="BA757" s="4"/>
      <c r="BB757" s="4"/>
      <c r="BC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c r="AP758" s="4"/>
      <c r="AQ758" s="4"/>
      <c r="AR758" s="4"/>
      <c r="AS758" s="4"/>
      <c r="AT758" s="4"/>
      <c r="AU758" s="4"/>
      <c r="AV758" s="4"/>
      <c r="AW758" s="4"/>
      <c r="AX758" s="4"/>
      <c r="AY758" s="4"/>
      <c r="AZ758" s="4"/>
      <c r="BA758" s="4"/>
      <c r="BB758" s="4"/>
      <c r="BC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c r="AP759" s="4"/>
      <c r="AQ759" s="4"/>
      <c r="AR759" s="4"/>
      <c r="AS759" s="4"/>
      <c r="AT759" s="4"/>
      <c r="AU759" s="4"/>
      <c r="AV759" s="4"/>
      <c r="AW759" s="4"/>
      <c r="AX759" s="4"/>
      <c r="AY759" s="4"/>
      <c r="AZ759" s="4"/>
      <c r="BA759" s="4"/>
      <c r="BB759" s="4"/>
      <c r="BC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c r="AP760" s="4"/>
      <c r="AQ760" s="4"/>
      <c r="AR760" s="4"/>
      <c r="AS760" s="4"/>
      <c r="AT760" s="4"/>
      <c r="AU760" s="4"/>
      <c r="AV760" s="4"/>
      <c r="AW760" s="4"/>
      <c r="AX760" s="4"/>
      <c r="AY760" s="4"/>
      <c r="AZ760" s="4"/>
      <c r="BA760" s="4"/>
      <c r="BB760" s="4"/>
      <c r="BC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c r="AP761" s="4"/>
      <c r="AQ761" s="4"/>
      <c r="AR761" s="4"/>
      <c r="AS761" s="4"/>
      <c r="AT761" s="4"/>
      <c r="AU761" s="4"/>
      <c r="AV761" s="4"/>
      <c r="AW761" s="4"/>
      <c r="AX761" s="4"/>
      <c r="AY761" s="4"/>
      <c r="AZ761" s="4"/>
      <c r="BA761" s="4"/>
      <c r="BB761" s="4"/>
      <c r="BC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c r="AP762" s="4"/>
      <c r="AQ762" s="4"/>
      <c r="AR762" s="4"/>
      <c r="AS762" s="4"/>
      <c r="AT762" s="4"/>
      <c r="AU762" s="4"/>
      <c r="AV762" s="4"/>
      <c r="AW762" s="4"/>
      <c r="AX762" s="4"/>
      <c r="AY762" s="4"/>
      <c r="AZ762" s="4"/>
      <c r="BA762" s="4"/>
      <c r="BB762" s="4"/>
      <c r="BC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c r="AP763" s="4"/>
      <c r="AQ763" s="4"/>
      <c r="AR763" s="4"/>
      <c r="AS763" s="4"/>
      <c r="AT763" s="4"/>
      <c r="AU763" s="4"/>
      <c r="AV763" s="4"/>
      <c r="AW763" s="4"/>
      <c r="AX763" s="4"/>
      <c r="AY763" s="4"/>
      <c r="AZ763" s="4"/>
      <c r="BA763" s="4"/>
      <c r="BB763" s="4"/>
      <c r="BC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c r="AP764" s="4"/>
      <c r="AQ764" s="4"/>
      <c r="AR764" s="4"/>
      <c r="AS764" s="4"/>
      <c r="AT764" s="4"/>
      <c r="AU764" s="4"/>
      <c r="AV764" s="4"/>
      <c r="AW764" s="4"/>
      <c r="AX764" s="4"/>
      <c r="AY764" s="4"/>
      <c r="AZ764" s="4"/>
      <c r="BA764" s="4"/>
      <c r="BB764" s="4"/>
      <c r="BC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c r="AP765" s="4"/>
      <c r="AQ765" s="4"/>
      <c r="AR765" s="4"/>
      <c r="AS765" s="4"/>
      <c r="AT765" s="4"/>
      <c r="AU765" s="4"/>
      <c r="AV765" s="4"/>
      <c r="AW765" s="4"/>
      <c r="AX765" s="4"/>
      <c r="AY765" s="4"/>
      <c r="AZ765" s="4"/>
      <c r="BA765" s="4"/>
      <c r="BB765" s="4"/>
      <c r="BC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c r="AP766" s="4"/>
      <c r="AQ766" s="4"/>
      <c r="AR766" s="4"/>
      <c r="AS766" s="4"/>
      <c r="AT766" s="4"/>
      <c r="AU766" s="4"/>
      <c r="AV766" s="4"/>
      <c r="AW766" s="4"/>
      <c r="AX766" s="4"/>
      <c r="AY766" s="4"/>
      <c r="AZ766" s="4"/>
      <c r="BA766" s="4"/>
      <c r="BB766" s="4"/>
      <c r="BC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c r="AP767" s="4"/>
      <c r="AQ767" s="4"/>
      <c r="AR767" s="4"/>
      <c r="AS767" s="4"/>
      <c r="AT767" s="4"/>
      <c r="AU767" s="4"/>
      <c r="AV767" s="4"/>
      <c r="AW767" s="4"/>
      <c r="AX767" s="4"/>
      <c r="AY767" s="4"/>
      <c r="AZ767" s="4"/>
      <c r="BA767" s="4"/>
      <c r="BB767" s="4"/>
      <c r="BC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c r="AP768" s="4"/>
      <c r="AQ768" s="4"/>
      <c r="AR768" s="4"/>
      <c r="AS768" s="4"/>
      <c r="AT768" s="4"/>
      <c r="AU768" s="4"/>
      <c r="AV768" s="4"/>
      <c r="AW768" s="4"/>
      <c r="AX768" s="4"/>
      <c r="AY768" s="4"/>
      <c r="AZ768" s="4"/>
      <c r="BA768" s="4"/>
      <c r="BB768" s="4"/>
      <c r="BC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c r="AP769" s="4"/>
      <c r="AQ769" s="4"/>
      <c r="AR769" s="4"/>
      <c r="AS769" s="4"/>
      <c r="AT769" s="4"/>
      <c r="AU769" s="4"/>
      <c r="AV769" s="4"/>
      <c r="AW769" s="4"/>
      <c r="AX769" s="4"/>
      <c r="AY769" s="4"/>
      <c r="AZ769" s="4"/>
      <c r="BA769" s="4"/>
      <c r="BB769" s="4"/>
      <c r="BC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c r="AP770" s="4"/>
      <c r="AQ770" s="4"/>
      <c r="AR770" s="4"/>
      <c r="AS770" s="4"/>
      <c r="AT770" s="4"/>
      <c r="AU770" s="4"/>
      <c r="AV770" s="4"/>
      <c r="AW770" s="4"/>
      <c r="AX770" s="4"/>
      <c r="AY770" s="4"/>
      <c r="AZ770" s="4"/>
      <c r="BA770" s="4"/>
      <c r="BB770" s="4"/>
      <c r="BC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c r="AP771" s="4"/>
      <c r="AQ771" s="4"/>
      <c r="AR771" s="4"/>
      <c r="AS771" s="4"/>
      <c r="AT771" s="4"/>
      <c r="AU771" s="4"/>
      <c r="AV771" s="4"/>
      <c r="AW771" s="4"/>
      <c r="AX771" s="4"/>
      <c r="AY771" s="4"/>
      <c r="AZ771" s="4"/>
      <c r="BA771" s="4"/>
      <c r="BB771" s="4"/>
      <c r="BC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c r="AP772" s="4"/>
      <c r="AQ772" s="4"/>
      <c r="AR772" s="4"/>
      <c r="AS772" s="4"/>
      <c r="AT772" s="4"/>
      <c r="AU772" s="4"/>
      <c r="AV772" s="4"/>
      <c r="AW772" s="4"/>
      <c r="AX772" s="4"/>
      <c r="AY772" s="4"/>
      <c r="AZ772" s="4"/>
      <c r="BA772" s="4"/>
      <c r="BB772" s="4"/>
      <c r="BC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c r="AP773" s="4"/>
      <c r="AQ773" s="4"/>
      <c r="AR773" s="4"/>
      <c r="AS773" s="4"/>
      <c r="AT773" s="4"/>
      <c r="AU773" s="4"/>
      <c r="AV773" s="4"/>
      <c r="AW773" s="4"/>
      <c r="AX773" s="4"/>
      <c r="AY773" s="4"/>
      <c r="AZ773" s="4"/>
      <c r="BA773" s="4"/>
      <c r="BB773" s="4"/>
      <c r="BC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c r="AP774" s="4"/>
      <c r="AQ774" s="4"/>
      <c r="AR774" s="4"/>
      <c r="AS774" s="4"/>
      <c r="AT774" s="4"/>
      <c r="AU774" s="4"/>
      <c r="AV774" s="4"/>
      <c r="AW774" s="4"/>
      <c r="AX774" s="4"/>
      <c r="AY774" s="4"/>
      <c r="AZ774" s="4"/>
      <c r="BA774" s="4"/>
      <c r="BB774" s="4"/>
      <c r="BC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c r="AP775" s="4"/>
      <c r="AQ775" s="4"/>
      <c r="AR775" s="4"/>
      <c r="AS775" s="4"/>
      <c r="AT775" s="4"/>
      <c r="AU775" s="4"/>
      <c r="AV775" s="4"/>
      <c r="AW775" s="4"/>
      <c r="AX775" s="4"/>
      <c r="AY775" s="4"/>
      <c r="AZ775" s="4"/>
      <c r="BA775" s="4"/>
      <c r="BB775" s="4"/>
      <c r="BC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c r="AP776" s="4"/>
      <c r="AQ776" s="4"/>
      <c r="AR776" s="4"/>
      <c r="AS776" s="4"/>
      <c r="AT776" s="4"/>
      <c r="AU776" s="4"/>
      <c r="AV776" s="4"/>
      <c r="AW776" s="4"/>
      <c r="AX776" s="4"/>
      <c r="AY776" s="4"/>
      <c r="AZ776" s="4"/>
      <c r="BA776" s="4"/>
      <c r="BB776" s="4"/>
      <c r="BC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c r="AP777" s="4"/>
      <c r="AQ777" s="4"/>
      <c r="AR777" s="4"/>
      <c r="AS777" s="4"/>
      <c r="AT777" s="4"/>
      <c r="AU777" s="4"/>
      <c r="AV777" s="4"/>
      <c r="AW777" s="4"/>
      <c r="AX777" s="4"/>
      <c r="AY777" s="4"/>
      <c r="AZ777" s="4"/>
      <c r="BA777" s="4"/>
      <c r="BB777" s="4"/>
      <c r="BC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c r="AP778" s="4"/>
      <c r="AQ778" s="4"/>
      <c r="AR778" s="4"/>
      <c r="AS778" s="4"/>
      <c r="AT778" s="4"/>
      <c r="AU778" s="4"/>
      <c r="AV778" s="4"/>
      <c r="AW778" s="4"/>
      <c r="AX778" s="4"/>
      <c r="AY778" s="4"/>
      <c r="AZ778" s="4"/>
      <c r="BA778" s="4"/>
      <c r="BB778" s="4"/>
      <c r="BC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c r="AP779" s="4"/>
      <c r="AQ779" s="4"/>
      <c r="AR779" s="4"/>
      <c r="AS779" s="4"/>
      <c r="AT779" s="4"/>
      <c r="AU779" s="4"/>
      <c r="AV779" s="4"/>
      <c r="AW779" s="4"/>
      <c r="AX779" s="4"/>
      <c r="AY779" s="4"/>
      <c r="AZ779" s="4"/>
      <c r="BA779" s="4"/>
      <c r="BB779" s="4"/>
      <c r="BC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c r="AP780" s="4"/>
      <c r="AQ780" s="4"/>
      <c r="AR780" s="4"/>
      <c r="AS780" s="4"/>
      <c r="AT780" s="4"/>
      <c r="AU780" s="4"/>
      <c r="AV780" s="4"/>
      <c r="AW780" s="4"/>
      <c r="AX780" s="4"/>
      <c r="AY780" s="4"/>
      <c r="AZ780" s="4"/>
      <c r="BA780" s="4"/>
      <c r="BB780" s="4"/>
      <c r="BC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c r="AP781" s="4"/>
      <c r="AQ781" s="4"/>
      <c r="AR781" s="4"/>
      <c r="AS781" s="4"/>
      <c r="AT781" s="4"/>
      <c r="AU781" s="4"/>
      <c r="AV781" s="4"/>
      <c r="AW781" s="4"/>
      <c r="AX781" s="4"/>
      <c r="AY781" s="4"/>
      <c r="AZ781" s="4"/>
      <c r="BA781" s="4"/>
      <c r="BB781" s="4"/>
      <c r="BC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c r="AP782" s="4"/>
      <c r="AQ782" s="4"/>
      <c r="AR782" s="4"/>
      <c r="AS782" s="4"/>
      <c r="AT782" s="4"/>
      <c r="AU782" s="4"/>
      <c r="AV782" s="4"/>
      <c r="AW782" s="4"/>
      <c r="AX782" s="4"/>
      <c r="AY782" s="4"/>
      <c r="AZ782" s="4"/>
      <c r="BA782" s="4"/>
      <c r="BB782" s="4"/>
      <c r="BC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c r="AP783" s="4"/>
      <c r="AQ783" s="4"/>
      <c r="AR783" s="4"/>
      <c r="AS783" s="4"/>
      <c r="AT783" s="4"/>
      <c r="AU783" s="4"/>
      <c r="AV783" s="4"/>
      <c r="AW783" s="4"/>
      <c r="AX783" s="4"/>
      <c r="AY783" s="4"/>
      <c r="AZ783" s="4"/>
      <c r="BA783" s="4"/>
      <c r="BB783" s="4"/>
      <c r="BC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c r="AP784" s="4"/>
      <c r="AQ784" s="4"/>
      <c r="AR784" s="4"/>
      <c r="AS784" s="4"/>
      <c r="AT784" s="4"/>
      <c r="AU784" s="4"/>
      <c r="AV784" s="4"/>
      <c r="AW784" s="4"/>
      <c r="AX784" s="4"/>
      <c r="AY784" s="4"/>
      <c r="AZ784" s="4"/>
      <c r="BA784" s="4"/>
      <c r="BB784" s="4"/>
      <c r="BC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c r="AP785" s="4"/>
      <c r="AQ785" s="4"/>
      <c r="AR785" s="4"/>
      <c r="AS785" s="4"/>
      <c r="AT785" s="4"/>
      <c r="AU785" s="4"/>
      <c r="AV785" s="4"/>
      <c r="AW785" s="4"/>
      <c r="AX785" s="4"/>
      <c r="AY785" s="4"/>
      <c r="AZ785" s="4"/>
      <c r="BA785" s="4"/>
      <c r="BB785" s="4"/>
      <c r="BC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c r="AP786" s="4"/>
      <c r="AQ786" s="4"/>
      <c r="AR786" s="4"/>
      <c r="AS786" s="4"/>
      <c r="AT786" s="4"/>
      <c r="AU786" s="4"/>
      <c r="AV786" s="4"/>
      <c r="AW786" s="4"/>
      <c r="AX786" s="4"/>
      <c r="AY786" s="4"/>
      <c r="AZ786" s="4"/>
      <c r="BA786" s="4"/>
      <c r="BB786" s="4"/>
      <c r="BC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c r="AP787" s="4"/>
      <c r="AQ787" s="4"/>
      <c r="AR787" s="4"/>
      <c r="AS787" s="4"/>
      <c r="AT787" s="4"/>
      <c r="AU787" s="4"/>
      <c r="AV787" s="4"/>
      <c r="AW787" s="4"/>
      <c r="AX787" s="4"/>
      <c r="AY787" s="4"/>
      <c r="AZ787" s="4"/>
      <c r="BA787" s="4"/>
      <c r="BB787" s="4"/>
      <c r="BC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c r="AP788" s="4"/>
      <c r="AQ788" s="4"/>
      <c r="AR788" s="4"/>
      <c r="AS788" s="4"/>
      <c r="AT788" s="4"/>
      <c r="AU788" s="4"/>
      <c r="AV788" s="4"/>
      <c r="AW788" s="4"/>
      <c r="AX788" s="4"/>
      <c r="AY788" s="4"/>
      <c r="AZ788" s="4"/>
      <c r="BA788" s="4"/>
      <c r="BB788" s="4"/>
      <c r="BC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c r="AP789" s="4"/>
      <c r="AQ789" s="4"/>
      <c r="AR789" s="4"/>
      <c r="AS789" s="4"/>
      <c r="AT789" s="4"/>
      <c r="AU789" s="4"/>
      <c r="AV789" s="4"/>
      <c r="AW789" s="4"/>
      <c r="AX789" s="4"/>
      <c r="AY789" s="4"/>
      <c r="AZ789" s="4"/>
      <c r="BA789" s="4"/>
      <c r="BB789" s="4"/>
      <c r="BC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c r="AP790" s="4"/>
      <c r="AQ790" s="4"/>
      <c r="AR790" s="4"/>
      <c r="AS790" s="4"/>
      <c r="AT790" s="4"/>
      <c r="AU790" s="4"/>
      <c r="AV790" s="4"/>
      <c r="AW790" s="4"/>
      <c r="AX790" s="4"/>
      <c r="AY790" s="4"/>
      <c r="AZ790" s="4"/>
      <c r="BA790" s="4"/>
      <c r="BB790" s="4"/>
      <c r="BC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c r="AP791" s="4"/>
      <c r="AQ791" s="4"/>
      <c r="AR791" s="4"/>
      <c r="AS791" s="4"/>
      <c r="AT791" s="4"/>
      <c r="AU791" s="4"/>
      <c r="AV791" s="4"/>
      <c r="AW791" s="4"/>
      <c r="AX791" s="4"/>
      <c r="AY791" s="4"/>
      <c r="AZ791" s="4"/>
      <c r="BA791" s="4"/>
      <c r="BB791" s="4"/>
      <c r="BC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c r="AP792" s="4"/>
      <c r="AQ792" s="4"/>
      <c r="AR792" s="4"/>
      <c r="AS792" s="4"/>
      <c r="AT792" s="4"/>
      <c r="AU792" s="4"/>
      <c r="AV792" s="4"/>
      <c r="AW792" s="4"/>
      <c r="AX792" s="4"/>
      <c r="AY792" s="4"/>
      <c r="AZ792" s="4"/>
      <c r="BA792" s="4"/>
      <c r="BB792" s="4"/>
      <c r="BC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c r="AP793" s="4"/>
      <c r="AQ793" s="4"/>
      <c r="AR793" s="4"/>
      <c r="AS793" s="4"/>
      <c r="AT793" s="4"/>
      <c r="AU793" s="4"/>
      <c r="AV793" s="4"/>
      <c r="AW793" s="4"/>
      <c r="AX793" s="4"/>
      <c r="AY793" s="4"/>
      <c r="AZ793" s="4"/>
      <c r="BA793" s="4"/>
      <c r="BB793" s="4"/>
      <c r="BC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c r="AP794" s="4"/>
      <c r="AQ794" s="4"/>
      <c r="AR794" s="4"/>
      <c r="AS794" s="4"/>
      <c r="AT794" s="4"/>
      <c r="AU794" s="4"/>
      <c r="AV794" s="4"/>
      <c r="AW794" s="4"/>
      <c r="AX794" s="4"/>
      <c r="AY794" s="4"/>
      <c r="AZ794" s="4"/>
      <c r="BA794" s="4"/>
      <c r="BB794" s="4"/>
      <c r="BC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c r="AP795" s="4"/>
      <c r="AQ795" s="4"/>
      <c r="AR795" s="4"/>
      <c r="AS795" s="4"/>
      <c r="AT795" s="4"/>
      <c r="AU795" s="4"/>
      <c r="AV795" s="4"/>
      <c r="AW795" s="4"/>
      <c r="AX795" s="4"/>
      <c r="AY795" s="4"/>
      <c r="AZ795" s="4"/>
      <c r="BA795" s="4"/>
      <c r="BB795" s="4"/>
      <c r="BC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c r="AP796" s="4"/>
      <c r="AQ796" s="4"/>
      <c r="AR796" s="4"/>
      <c r="AS796" s="4"/>
      <c r="AT796" s="4"/>
      <c r="AU796" s="4"/>
      <c r="AV796" s="4"/>
      <c r="AW796" s="4"/>
      <c r="AX796" s="4"/>
      <c r="AY796" s="4"/>
      <c r="AZ796" s="4"/>
      <c r="BA796" s="4"/>
      <c r="BB796" s="4"/>
      <c r="BC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c r="AP797" s="4"/>
      <c r="AQ797" s="4"/>
      <c r="AR797" s="4"/>
      <c r="AS797" s="4"/>
      <c r="AT797" s="4"/>
      <c r="AU797" s="4"/>
      <c r="AV797" s="4"/>
      <c r="AW797" s="4"/>
      <c r="AX797" s="4"/>
      <c r="AY797" s="4"/>
      <c r="AZ797" s="4"/>
      <c r="BA797" s="4"/>
      <c r="BB797" s="4"/>
      <c r="BC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c r="AP798" s="4"/>
      <c r="AQ798" s="4"/>
      <c r="AR798" s="4"/>
      <c r="AS798" s="4"/>
      <c r="AT798" s="4"/>
      <c r="AU798" s="4"/>
      <c r="AV798" s="4"/>
      <c r="AW798" s="4"/>
      <c r="AX798" s="4"/>
      <c r="AY798" s="4"/>
      <c r="AZ798" s="4"/>
      <c r="BA798" s="4"/>
      <c r="BB798" s="4"/>
      <c r="BC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c r="AP799" s="4"/>
      <c r="AQ799" s="4"/>
      <c r="AR799" s="4"/>
      <c r="AS799" s="4"/>
      <c r="AT799" s="4"/>
      <c r="AU799" s="4"/>
      <c r="AV799" s="4"/>
      <c r="AW799" s="4"/>
      <c r="AX799" s="4"/>
      <c r="AY799" s="4"/>
      <c r="AZ799" s="4"/>
      <c r="BA799" s="4"/>
      <c r="BB799" s="4"/>
      <c r="BC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c r="AP800" s="4"/>
      <c r="AQ800" s="4"/>
      <c r="AR800" s="4"/>
      <c r="AS800" s="4"/>
      <c r="AT800" s="4"/>
      <c r="AU800" s="4"/>
      <c r="AV800" s="4"/>
      <c r="AW800" s="4"/>
      <c r="AX800" s="4"/>
      <c r="AY800" s="4"/>
      <c r="AZ800" s="4"/>
      <c r="BA800" s="4"/>
      <c r="BB800" s="4"/>
      <c r="BC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c r="AP801" s="4"/>
      <c r="AQ801" s="4"/>
      <c r="AR801" s="4"/>
      <c r="AS801" s="4"/>
      <c r="AT801" s="4"/>
      <c r="AU801" s="4"/>
      <c r="AV801" s="4"/>
      <c r="AW801" s="4"/>
      <c r="AX801" s="4"/>
      <c r="AY801" s="4"/>
      <c r="AZ801" s="4"/>
      <c r="BA801" s="4"/>
      <c r="BB801" s="4"/>
      <c r="BC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c r="AP802" s="4"/>
      <c r="AQ802" s="4"/>
      <c r="AR802" s="4"/>
      <c r="AS802" s="4"/>
      <c r="AT802" s="4"/>
      <c r="AU802" s="4"/>
      <c r="AV802" s="4"/>
      <c r="AW802" s="4"/>
      <c r="AX802" s="4"/>
      <c r="AY802" s="4"/>
      <c r="AZ802" s="4"/>
      <c r="BA802" s="4"/>
      <c r="BB802" s="4"/>
      <c r="BC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c r="AP803" s="4"/>
      <c r="AQ803" s="4"/>
      <c r="AR803" s="4"/>
      <c r="AS803" s="4"/>
      <c r="AT803" s="4"/>
      <c r="AU803" s="4"/>
      <c r="AV803" s="4"/>
      <c r="AW803" s="4"/>
      <c r="AX803" s="4"/>
      <c r="AY803" s="4"/>
      <c r="AZ803" s="4"/>
      <c r="BA803" s="4"/>
      <c r="BB803" s="4"/>
      <c r="BC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c r="AP804" s="4"/>
      <c r="AQ804" s="4"/>
      <c r="AR804" s="4"/>
      <c r="AS804" s="4"/>
      <c r="AT804" s="4"/>
      <c r="AU804" s="4"/>
      <c r="AV804" s="4"/>
      <c r="AW804" s="4"/>
      <c r="AX804" s="4"/>
      <c r="AY804" s="4"/>
      <c r="AZ804" s="4"/>
      <c r="BA804" s="4"/>
      <c r="BB804" s="4"/>
      <c r="BC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c r="AP805" s="4"/>
      <c r="AQ805" s="4"/>
      <c r="AR805" s="4"/>
      <c r="AS805" s="4"/>
      <c r="AT805" s="4"/>
      <c r="AU805" s="4"/>
      <c r="AV805" s="4"/>
      <c r="AW805" s="4"/>
      <c r="AX805" s="4"/>
      <c r="AY805" s="4"/>
      <c r="AZ805" s="4"/>
      <c r="BA805" s="4"/>
      <c r="BB805" s="4"/>
      <c r="BC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c r="AP806" s="4"/>
      <c r="AQ806" s="4"/>
      <c r="AR806" s="4"/>
      <c r="AS806" s="4"/>
      <c r="AT806" s="4"/>
      <c r="AU806" s="4"/>
      <c r="AV806" s="4"/>
      <c r="AW806" s="4"/>
      <c r="AX806" s="4"/>
      <c r="AY806" s="4"/>
      <c r="AZ806" s="4"/>
      <c r="BA806" s="4"/>
      <c r="BB806" s="4"/>
      <c r="BC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c r="AP807" s="4"/>
      <c r="AQ807" s="4"/>
      <c r="AR807" s="4"/>
      <c r="AS807" s="4"/>
      <c r="AT807" s="4"/>
      <c r="AU807" s="4"/>
      <c r="AV807" s="4"/>
      <c r="AW807" s="4"/>
      <c r="AX807" s="4"/>
      <c r="AY807" s="4"/>
      <c r="AZ807" s="4"/>
      <c r="BA807" s="4"/>
      <c r="BB807" s="4"/>
      <c r="BC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c r="AP808" s="4"/>
      <c r="AQ808" s="4"/>
      <c r="AR808" s="4"/>
      <c r="AS808" s="4"/>
      <c r="AT808" s="4"/>
      <c r="AU808" s="4"/>
      <c r="AV808" s="4"/>
      <c r="AW808" s="4"/>
      <c r="AX808" s="4"/>
      <c r="AY808" s="4"/>
      <c r="AZ808" s="4"/>
      <c r="BA808" s="4"/>
      <c r="BB808" s="4"/>
      <c r="BC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c r="AP809" s="4"/>
      <c r="AQ809" s="4"/>
      <c r="AR809" s="4"/>
      <c r="AS809" s="4"/>
      <c r="AT809" s="4"/>
      <c r="AU809" s="4"/>
      <c r="AV809" s="4"/>
      <c r="AW809" s="4"/>
      <c r="AX809" s="4"/>
      <c r="AY809" s="4"/>
      <c r="AZ809" s="4"/>
      <c r="BA809" s="4"/>
      <c r="BB809" s="4"/>
      <c r="BC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c r="AP810" s="4"/>
      <c r="AQ810" s="4"/>
      <c r="AR810" s="4"/>
      <c r="AS810" s="4"/>
      <c r="AT810" s="4"/>
      <c r="AU810" s="4"/>
      <c r="AV810" s="4"/>
      <c r="AW810" s="4"/>
      <c r="AX810" s="4"/>
      <c r="AY810" s="4"/>
      <c r="AZ810" s="4"/>
      <c r="BA810" s="4"/>
      <c r="BB810" s="4"/>
      <c r="BC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c r="AP811" s="4"/>
      <c r="AQ811" s="4"/>
      <c r="AR811" s="4"/>
      <c r="AS811" s="4"/>
      <c r="AT811" s="4"/>
      <c r="AU811" s="4"/>
      <c r="AV811" s="4"/>
      <c r="AW811" s="4"/>
      <c r="AX811" s="4"/>
      <c r="AY811" s="4"/>
      <c r="AZ811" s="4"/>
      <c r="BA811" s="4"/>
      <c r="BB811" s="4"/>
      <c r="BC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c r="AP812" s="4"/>
      <c r="AQ812" s="4"/>
      <c r="AR812" s="4"/>
      <c r="AS812" s="4"/>
      <c r="AT812" s="4"/>
      <c r="AU812" s="4"/>
      <c r="AV812" s="4"/>
      <c r="AW812" s="4"/>
      <c r="AX812" s="4"/>
      <c r="AY812" s="4"/>
      <c r="AZ812" s="4"/>
      <c r="BA812" s="4"/>
      <c r="BB812" s="4"/>
      <c r="BC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c r="AP813" s="4"/>
      <c r="AQ813" s="4"/>
      <c r="AR813" s="4"/>
      <c r="AS813" s="4"/>
      <c r="AT813" s="4"/>
      <c r="AU813" s="4"/>
      <c r="AV813" s="4"/>
      <c r="AW813" s="4"/>
      <c r="AX813" s="4"/>
      <c r="AY813" s="4"/>
      <c r="AZ813" s="4"/>
      <c r="BA813" s="4"/>
      <c r="BB813" s="4"/>
      <c r="BC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c r="AP814" s="4"/>
      <c r="AQ814" s="4"/>
      <c r="AR814" s="4"/>
      <c r="AS814" s="4"/>
      <c r="AT814" s="4"/>
      <c r="AU814" s="4"/>
      <c r="AV814" s="4"/>
      <c r="AW814" s="4"/>
      <c r="AX814" s="4"/>
      <c r="AY814" s="4"/>
      <c r="AZ814" s="4"/>
      <c r="BA814" s="4"/>
      <c r="BB814" s="4"/>
      <c r="BC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c r="AP815" s="4"/>
      <c r="AQ815" s="4"/>
      <c r="AR815" s="4"/>
      <c r="AS815" s="4"/>
      <c r="AT815" s="4"/>
      <c r="AU815" s="4"/>
      <c r="AV815" s="4"/>
      <c r="AW815" s="4"/>
      <c r="AX815" s="4"/>
      <c r="AY815" s="4"/>
      <c r="AZ815" s="4"/>
      <c r="BA815" s="4"/>
      <c r="BB815" s="4"/>
      <c r="BC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c r="AP816" s="4"/>
      <c r="AQ816" s="4"/>
      <c r="AR816" s="4"/>
      <c r="AS816" s="4"/>
      <c r="AT816" s="4"/>
      <c r="AU816" s="4"/>
      <c r="AV816" s="4"/>
      <c r="AW816" s="4"/>
      <c r="AX816" s="4"/>
      <c r="AY816" s="4"/>
      <c r="AZ816" s="4"/>
      <c r="BA816" s="4"/>
      <c r="BB816" s="4"/>
      <c r="BC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c r="AP817" s="4"/>
      <c r="AQ817" s="4"/>
      <c r="AR817" s="4"/>
      <c r="AS817" s="4"/>
      <c r="AT817" s="4"/>
      <c r="AU817" s="4"/>
      <c r="AV817" s="4"/>
      <c r="AW817" s="4"/>
      <c r="AX817" s="4"/>
      <c r="AY817" s="4"/>
      <c r="AZ817" s="4"/>
      <c r="BA817" s="4"/>
      <c r="BB817" s="4"/>
      <c r="BC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c r="AP818" s="4"/>
      <c r="AQ818" s="4"/>
      <c r="AR818" s="4"/>
      <c r="AS818" s="4"/>
      <c r="AT818" s="4"/>
      <c r="AU818" s="4"/>
      <c r="AV818" s="4"/>
      <c r="AW818" s="4"/>
      <c r="AX818" s="4"/>
      <c r="AY818" s="4"/>
      <c r="AZ818" s="4"/>
      <c r="BA818" s="4"/>
      <c r="BB818" s="4"/>
      <c r="BC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c r="AP819" s="4"/>
      <c r="AQ819" s="4"/>
      <c r="AR819" s="4"/>
      <c r="AS819" s="4"/>
      <c r="AT819" s="4"/>
      <c r="AU819" s="4"/>
      <c r="AV819" s="4"/>
      <c r="AW819" s="4"/>
      <c r="AX819" s="4"/>
      <c r="AY819" s="4"/>
      <c r="AZ819" s="4"/>
      <c r="BA819" s="4"/>
      <c r="BB819" s="4"/>
      <c r="BC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c r="AP820" s="4"/>
      <c r="AQ820" s="4"/>
      <c r="AR820" s="4"/>
      <c r="AS820" s="4"/>
      <c r="AT820" s="4"/>
      <c r="AU820" s="4"/>
      <c r="AV820" s="4"/>
      <c r="AW820" s="4"/>
      <c r="AX820" s="4"/>
      <c r="AY820" s="4"/>
      <c r="AZ820" s="4"/>
      <c r="BA820" s="4"/>
      <c r="BB820" s="4"/>
      <c r="BC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c r="AP821" s="4"/>
      <c r="AQ821" s="4"/>
      <c r="AR821" s="4"/>
      <c r="AS821" s="4"/>
      <c r="AT821" s="4"/>
      <c r="AU821" s="4"/>
      <c r="AV821" s="4"/>
      <c r="AW821" s="4"/>
      <c r="AX821" s="4"/>
      <c r="AY821" s="4"/>
      <c r="AZ821" s="4"/>
      <c r="BA821" s="4"/>
      <c r="BB821" s="4"/>
      <c r="BC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c r="AP822" s="4"/>
      <c r="AQ822" s="4"/>
      <c r="AR822" s="4"/>
      <c r="AS822" s="4"/>
      <c r="AT822" s="4"/>
      <c r="AU822" s="4"/>
      <c r="AV822" s="4"/>
      <c r="AW822" s="4"/>
      <c r="AX822" s="4"/>
      <c r="AY822" s="4"/>
      <c r="AZ822" s="4"/>
      <c r="BA822" s="4"/>
      <c r="BB822" s="4"/>
      <c r="BC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c r="AP823" s="4"/>
      <c r="AQ823" s="4"/>
      <c r="AR823" s="4"/>
      <c r="AS823" s="4"/>
      <c r="AT823" s="4"/>
      <c r="AU823" s="4"/>
      <c r="AV823" s="4"/>
      <c r="AW823" s="4"/>
      <c r="AX823" s="4"/>
      <c r="AY823" s="4"/>
      <c r="AZ823" s="4"/>
      <c r="BA823" s="4"/>
      <c r="BB823" s="4"/>
      <c r="BC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c r="AP824" s="4"/>
      <c r="AQ824" s="4"/>
      <c r="AR824" s="4"/>
      <c r="AS824" s="4"/>
      <c r="AT824" s="4"/>
      <c r="AU824" s="4"/>
      <c r="AV824" s="4"/>
      <c r="AW824" s="4"/>
      <c r="AX824" s="4"/>
      <c r="AY824" s="4"/>
      <c r="AZ824" s="4"/>
      <c r="BA824" s="4"/>
      <c r="BB824" s="4"/>
      <c r="BC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c r="AP825" s="4"/>
      <c r="AQ825" s="4"/>
      <c r="AR825" s="4"/>
      <c r="AS825" s="4"/>
      <c r="AT825" s="4"/>
      <c r="AU825" s="4"/>
      <c r="AV825" s="4"/>
      <c r="AW825" s="4"/>
      <c r="AX825" s="4"/>
      <c r="AY825" s="4"/>
      <c r="AZ825" s="4"/>
      <c r="BA825" s="4"/>
      <c r="BB825" s="4"/>
      <c r="BC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c r="AP826" s="4"/>
      <c r="AQ826" s="4"/>
      <c r="AR826" s="4"/>
      <c r="AS826" s="4"/>
      <c r="AT826" s="4"/>
      <c r="AU826" s="4"/>
      <c r="AV826" s="4"/>
      <c r="AW826" s="4"/>
      <c r="AX826" s="4"/>
      <c r="AY826" s="4"/>
      <c r="AZ826" s="4"/>
      <c r="BA826" s="4"/>
      <c r="BB826" s="4"/>
      <c r="BC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c r="AP827" s="4"/>
      <c r="AQ827" s="4"/>
      <c r="AR827" s="4"/>
      <c r="AS827" s="4"/>
      <c r="AT827" s="4"/>
      <c r="AU827" s="4"/>
      <c r="AV827" s="4"/>
      <c r="AW827" s="4"/>
      <c r="AX827" s="4"/>
      <c r="AY827" s="4"/>
      <c r="AZ827" s="4"/>
      <c r="BA827" s="4"/>
      <c r="BB827" s="4"/>
      <c r="BC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c r="AP828" s="4"/>
      <c r="AQ828" s="4"/>
      <c r="AR828" s="4"/>
      <c r="AS828" s="4"/>
      <c r="AT828" s="4"/>
      <c r="AU828" s="4"/>
      <c r="AV828" s="4"/>
      <c r="AW828" s="4"/>
      <c r="AX828" s="4"/>
      <c r="AY828" s="4"/>
      <c r="AZ828" s="4"/>
      <c r="BA828" s="4"/>
      <c r="BB828" s="4"/>
      <c r="BC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c r="AP829" s="4"/>
      <c r="AQ829" s="4"/>
      <c r="AR829" s="4"/>
      <c r="AS829" s="4"/>
      <c r="AT829" s="4"/>
      <c r="AU829" s="4"/>
      <c r="AV829" s="4"/>
      <c r="AW829" s="4"/>
      <c r="AX829" s="4"/>
      <c r="AY829" s="4"/>
      <c r="AZ829" s="4"/>
      <c r="BA829" s="4"/>
      <c r="BB829" s="4"/>
      <c r="BC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c r="AP830" s="4"/>
      <c r="AQ830" s="4"/>
      <c r="AR830" s="4"/>
      <c r="AS830" s="4"/>
      <c r="AT830" s="4"/>
      <c r="AU830" s="4"/>
      <c r="AV830" s="4"/>
      <c r="AW830" s="4"/>
      <c r="AX830" s="4"/>
      <c r="AY830" s="4"/>
      <c r="AZ830" s="4"/>
      <c r="BA830" s="4"/>
      <c r="BB830" s="4"/>
      <c r="BC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c r="AP831" s="4"/>
      <c r="AQ831" s="4"/>
      <c r="AR831" s="4"/>
      <c r="AS831" s="4"/>
      <c r="AT831" s="4"/>
      <c r="AU831" s="4"/>
      <c r="AV831" s="4"/>
      <c r="AW831" s="4"/>
      <c r="AX831" s="4"/>
      <c r="AY831" s="4"/>
      <c r="AZ831" s="4"/>
      <c r="BA831" s="4"/>
      <c r="BB831" s="4"/>
      <c r="BC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c r="AP832" s="4"/>
      <c r="AQ832" s="4"/>
      <c r="AR832" s="4"/>
      <c r="AS832" s="4"/>
      <c r="AT832" s="4"/>
      <c r="AU832" s="4"/>
      <c r="AV832" s="4"/>
      <c r="AW832" s="4"/>
      <c r="AX832" s="4"/>
      <c r="AY832" s="4"/>
      <c r="AZ832" s="4"/>
      <c r="BA832" s="4"/>
      <c r="BB832" s="4"/>
      <c r="BC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c r="AP833" s="4"/>
      <c r="AQ833" s="4"/>
      <c r="AR833" s="4"/>
      <c r="AS833" s="4"/>
      <c r="AT833" s="4"/>
      <c r="AU833" s="4"/>
      <c r="AV833" s="4"/>
      <c r="AW833" s="4"/>
      <c r="AX833" s="4"/>
      <c r="AY833" s="4"/>
      <c r="AZ833" s="4"/>
      <c r="BA833" s="4"/>
      <c r="BB833" s="4"/>
      <c r="BC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c r="AP834" s="4"/>
      <c r="AQ834" s="4"/>
      <c r="AR834" s="4"/>
      <c r="AS834" s="4"/>
      <c r="AT834" s="4"/>
      <c r="AU834" s="4"/>
      <c r="AV834" s="4"/>
      <c r="AW834" s="4"/>
      <c r="AX834" s="4"/>
      <c r="AY834" s="4"/>
      <c r="AZ834" s="4"/>
      <c r="BA834" s="4"/>
      <c r="BB834" s="4"/>
      <c r="BC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c r="AP835" s="4"/>
      <c r="AQ835" s="4"/>
      <c r="AR835" s="4"/>
      <c r="AS835" s="4"/>
      <c r="AT835" s="4"/>
      <c r="AU835" s="4"/>
      <c r="AV835" s="4"/>
      <c r="AW835" s="4"/>
      <c r="AX835" s="4"/>
      <c r="AY835" s="4"/>
      <c r="AZ835" s="4"/>
      <c r="BA835" s="4"/>
      <c r="BB835" s="4"/>
      <c r="BC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c r="AP836" s="4"/>
      <c r="AQ836" s="4"/>
      <c r="AR836" s="4"/>
      <c r="AS836" s="4"/>
      <c r="AT836" s="4"/>
      <c r="AU836" s="4"/>
      <c r="AV836" s="4"/>
      <c r="AW836" s="4"/>
      <c r="AX836" s="4"/>
      <c r="AY836" s="4"/>
      <c r="AZ836" s="4"/>
      <c r="BA836" s="4"/>
      <c r="BB836" s="4"/>
      <c r="BC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c r="AP837" s="4"/>
      <c r="AQ837" s="4"/>
      <c r="AR837" s="4"/>
      <c r="AS837" s="4"/>
      <c r="AT837" s="4"/>
      <c r="AU837" s="4"/>
      <c r="AV837" s="4"/>
      <c r="AW837" s="4"/>
      <c r="AX837" s="4"/>
      <c r="AY837" s="4"/>
      <c r="AZ837" s="4"/>
      <c r="BA837" s="4"/>
      <c r="BB837" s="4"/>
      <c r="BC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c r="AP838" s="4"/>
      <c r="AQ838" s="4"/>
      <c r="AR838" s="4"/>
      <c r="AS838" s="4"/>
      <c r="AT838" s="4"/>
      <c r="AU838" s="4"/>
      <c r="AV838" s="4"/>
      <c r="AW838" s="4"/>
      <c r="AX838" s="4"/>
      <c r="AY838" s="4"/>
      <c r="AZ838" s="4"/>
      <c r="BA838" s="4"/>
      <c r="BB838" s="4"/>
      <c r="BC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c r="AP839" s="4"/>
      <c r="AQ839" s="4"/>
      <c r="AR839" s="4"/>
      <c r="AS839" s="4"/>
      <c r="AT839" s="4"/>
      <c r="AU839" s="4"/>
      <c r="AV839" s="4"/>
      <c r="AW839" s="4"/>
      <c r="AX839" s="4"/>
      <c r="AY839" s="4"/>
      <c r="AZ839" s="4"/>
      <c r="BA839" s="4"/>
      <c r="BB839" s="4"/>
      <c r="BC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c r="AP840" s="4"/>
      <c r="AQ840" s="4"/>
      <c r="AR840" s="4"/>
      <c r="AS840" s="4"/>
      <c r="AT840" s="4"/>
      <c r="AU840" s="4"/>
      <c r="AV840" s="4"/>
      <c r="AW840" s="4"/>
      <c r="AX840" s="4"/>
      <c r="AY840" s="4"/>
      <c r="AZ840" s="4"/>
      <c r="BA840" s="4"/>
      <c r="BB840" s="4"/>
      <c r="BC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c r="AP841" s="4"/>
      <c r="AQ841" s="4"/>
      <c r="AR841" s="4"/>
      <c r="AS841" s="4"/>
      <c r="AT841" s="4"/>
      <c r="AU841" s="4"/>
      <c r="AV841" s="4"/>
      <c r="AW841" s="4"/>
      <c r="AX841" s="4"/>
      <c r="AY841" s="4"/>
      <c r="AZ841" s="4"/>
      <c r="BA841" s="4"/>
      <c r="BB841" s="4"/>
      <c r="BC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c r="AP842" s="4"/>
      <c r="AQ842" s="4"/>
      <c r="AR842" s="4"/>
      <c r="AS842" s="4"/>
      <c r="AT842" s="4"/>
      <c r="AU842" s="4"/>
      <c r="AV842" s="4"/>
      <c r="AW842" s="4"/>
      <c r="AX842" s="4"/>
      <c r="AY842" s="4"/>
      <c r="AZ842" s="4"/>
      <c r="BA842" s="4"/>
      <c r="BB842" s="4"/>
      <c r="BC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c r="AP843" s="4"/>
      <c r="AQ843" s="4"/>
      <c r="AR843" s="4"/>
      <c r="AS843" s="4"/>
      <c r="AT843" s="4"/>
      <c r="AU843" s="4"/>
      <c r="AV843" s="4"/>
      <c r="AW843" s="4"/>
      <c r="AX843" s="4"/>
      <c r="AY843" s="4"/>
      <c r="AZ843" s="4"/>
      <c r="BA843" s="4"/>
      <c r="BB843" s="4"/>
      <c r="BC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c r="AP844" s="4"/>
      <c r="AQ844" s="4"/>
      <c r="AR844" s="4"/>
      <c r="AS844" s="4"/>
      <c r="AT844" s="4"/>
      <c r="AU844" s="4"/>
      <c r="AV844" s="4"/>
      <c r="AW844" s="4"/>
      <c r="AX844" s="4"/>
      <c r="AY844" s="4"/>
      <c r="AZ844" s="4"/>
      <c r="BA844" s="4"/>
      <c r="BB844" s="4"/>
      <c r="BC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c r="AP845" s="4"/>
      <c r="AQ845" s="4"/>
      <c r="AR845" s="4"/>
      <c r="AS845" s="4"/>
      <c r="AT845" s="4"/>
      <c r="AU845" s="4"/>
      <c r="AV845" s="4"/>
      <c r="AW845" s="4"/>
      <c r="AX845" s="4"/>
      <c r="AY845" s="4"/>
      <c r="AZ845" s="4"/>
      <c r="BA845" s="4"/>
      <c r="BB845" s="4"/>
      <c r="BC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c r="AP846" s="4"/>
      <c r="AQ846" s="4"/>
      <c r="AR846" s="4"/>
      <c r="AS846" s="4"/>
      <c r="AT846" s="4"/>
      <c r="AU846" s="4"/>
      <c r="AV846" s="4"/>
      <c r="AW846" s="4"/>
      <c r="AX846" s="4"/>
      <c r="AY846" s="4"/>
      <c r="AZ846" s="4"/>
      <c r="BA846" s="4"/>
      <c r="BB846" s="4"/>
      <c r="BC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c r="AP847" s="4"/>
      <c r="AQ847" s="4"/>
      <c r="AR847" s="4"/>
      <c r="AS847" s="4"/>
      <c r="AT847" s="4"/>
      <c r="AU847" s="4"/>
      <c r="AV847" s="4"/>
      <c r="AW847" s="4"/>
      <c r="AX847" s="4"/>
      <c r="AY847" s="4"/>
      <c r="AZ847" s="4"/>
      <c r="BA847" s="4"/>
      <c r="BB847" s="4"/>
      <c r="BC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c r="AP848" s="4"/>
      <c r="AQ848" s="4"/>
      <c r="AR848" s="4"/>
      <c r="AS848" s="4"/>
      <c r="AT848" s="4"/>
      <c r="AU848" s="4"/>
      <c r="AV848" s="4"/>
      <c r="AW848" s="4"/>
      <c r="AX848" s="4"/>
      <c r="AY848" s="4"/>
      <c r="AZ848" s="4"/>
      <c r="BA848" s="4"/>
      <c r="BB848" s="4"/>
      <c r="BC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c r="AP849" s="4"/>
      <c r="AQ849" s="4"/>
      <c r="AR849" s="4"/>
      <c r="AS849" s="4"/>
      <c r="AT849" s="4"/>
      <c r="AU849" s="4"/>
      <c r="AV849" s="4"/>
      <c r="AW849" s="4"/>
      <c r="AX849" s="4"/>
      <c r="AY849" s="4"/>
      <c r="AZ849" s="4"/>
      <c r="BA849" s="4"/>
      <c r="BB849" s="4"/>
      <c r="BC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c r="AP850" s="4"/>
      <c r="AQ850" s="4"/>
      <c r="AR850" s="4"/>
      <c r="AS850" s="4"/>
      <c r="AT850" s="4"/>
      <c r="AU850" s="4"/>
      <c r="AV850" s="4"/>
      <c r="AW850" s="4"/>
      <c r="AX850" s="4"/>
      <c r="AY850" s="4"/>
      <c r="AZ850" s="4"/>
      <c r="BA850" s="4"/>
      <c r="BB850" s="4"/>
      <c r="BC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c r="AP851" s="4"/>
      <c r="AQ851" s="4"/>
      <c r="AR851" s="4"/>
      <c r="AS851" s="4"/>
      <c r="AT851" s="4"/>
      <c r="AU851" s="4"/>
      <c r="AV851" s="4"/>
      <c r="AW851" s="4"/>
      <c r="AX851" s="4"/>
      <c r="AY851" s="4"/>
      <c r="AZ851" s="4"/>
      <c r="BA851" s="4"/>
      <c r="BB851" s="4"/>
      <c r="BC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c r="AP852" s="4"/>
      <c r="AQ852" s="4"/>
      <c r="AR852" s="4"/>
      <c r="AS852" s="4"/>
      <c r="AT852" s="4"/>
      <c r="AU852" s="4"/>
      <c r="AV852" s="4"/>
      <c r="AW852" s="4"/>
      <c r="AX852" s="4"/>
      <c r="AY852" s="4"/>
      <c r="AZ852" s="4"/>
      <c r="BA852" s="4"/>
      <c r="BB852" s="4"/>
      <c r="BC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c r="AP853" s="4"/>
      <c r="AQ853" s="4"/>
      <c r="AR853" s="4"/>
      <c r="AS853" s="4"/>
      <c r="AT853" s="4"/>
      <c r="AU853" s="4"/>
      <c r="AV853" s="4"/>
      <c r="AW853" s="4"/>
      <c r="AX853" s="4"/>
      <c r="AY853" s="4"/>
      <c r="AZ853" s="4"/>
      <c r="BA853" s="4"/>
      <c r="BB853" s="4"/>
      <c r="BC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c r="AP854" s="4"/>
      <c r="AQ854" s="4"/>
      <c r="AR854" s="4"/>
      <c r="AS854" s="4"/>
      <c r="AT854" s="4"/>
      <c r="AU854" s="4"/>
      <c r="AV854" s="4"/>
      <c r="AW854" s="4"/>
      <c r="AX854" s="4"/>
      <c r="AY854" s="4"/>
      <c r="AZ854" s="4"/>
      <c r="BA854" s="4"/>
      <c r="BB854" s="4"/>
      <c r="BC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c r="AP855" s="4"/>
      <c r="AQ855" s="4"/>
      <c r="AR855" s="4"/>
      <c r="AS855" s="4"/>
      <c r="AT855" s="4"/>
      <c r="AU855" s="4"/>
      <c r="AV855" s="4"/>
      <c r="AW855" s="4"/>
      <c r="AX855" s="4"/>
      <c r="AY855" s="4"/>
      <c r="AZ855" s="4"/>
      <c r="BA855" s="4"/>
      <c r="BB855" s="4"/>
      <c r="BC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c r="AP856" s="4"/>
      <c r="AQ856" s="4"/>
      <c r="AR856" s="4"/>
      <c r="AS856" s="4"/>
      <c r="AT856" s="4"/>
      <c r="AU856" s="4"/>
      <c r="AV856" s="4"/>
      <c r="AW856" s="4"/>
      <c r="AX856" s="4"/>
      <c r="AY856" s="4"/>
      <c r="AZ856" s="4"/>
      <c r="BA856" s="4"/>
      <c r="BB856" s="4"/>
      <c r="BC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c r="AP857" s="4"/>
      <c r="AQ857" s="4"/>
      <c r="AR857" s="4"/>
      <c r="AS857" s="4"/>
      <c r="AT857" s="4"/>
      <c r="AU857" s="4"/>
      <c r="AV857" s="4"/>
      <c r="AW857" s="4"/>
      <c r="AX857" s="4"/>
      <c r="AY857" s="4"/>
      <c r="AZ857" s="4"/>
      <c r="BA857" s="4"/>
      <c r="BB857" s="4"/>
      <c r="BC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c r="AP858" s="4"/>
      <c r="AQ858" s="4"/>
      <c r="AR858" s="4"/>
      <c r="AS858" s="4"/>
      <c r="AT858" s="4"/>
      <c r="AU858" s="4"/>
      <c r="AV858" s="4"/>
      <c r="AW858" s="4"/>
      <c r="AX858" s="4"/>
      <c r="AY858" s="4"/>
      <c r="AZ858" s="4"/>
      <c r="BA858" s="4"/>
      <c r="BB858" s="4"/>
      <c r="BC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c r="AP859" s="4"/>
      <c r="AQ859" s="4"/>
      <c r="AR859" s="4"/>
      <c r="AS859" s="4"/>
      <c r="AT859" s="4"/>
      <c r="AU859" s="4"/>
      <c r="AV859" s="4"/>
      <c r="AW859" s="4"/>
      <c r="AX859" s="4"/>
      <c r="AY859" s="4"/>
      <c r="AZ859" s="4"/>
      <c r="BA859" s="4"/>
      <c r="BB859" s="4"/>
      <c r="BC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c r="AP860" s="4"/>
      <c r="AQ860" s="4"/>
      <c r="AR860" s="4"/>
      <c r="AS860" s="4"/>
      <c r="AT860" s="4"/>
      <c r="AU860" s="4"/>
      <c r="AV860" s="4"/>
      <c r="AW860" s="4"/>
      <c r="AX860" s="4"/>
      <c r="AY860" s="4"/>
      <c r="AZ860" s="4"/>
      <c r="BA860" s="4"/>
      <c r="BB860" s="4"/>
      <c r="BC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c r="AP861" s="4"/>
      <c r="AQ861" s="4"/>
      <c r="AR861" s="4"/>
      <c r="AS861" s="4"/>
      <c r="AT861" s="4"/>
      <c r="AU861" s="4"/>
      <c r="AV861" s="4"/>
      <c r="AW861" s="4"/>
      <c r="AX861" s="4"/>
      <c r="AY861" s="4"/>
      <c r="AZ861" s="4"/>
      <c r="BA861" s="4"/>
      <c r="BB861" s="4"/>
      <c r="BC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c r="AP862" s="4"/>
      <c r="AQ862" s="4"/>
      <c r="AR862" s="4"/>
      <c r="AS862" s="4"/>
      <c r="AT862" s="4"/>
      <c r="AU862" s="4"/>
      <c r="AV862" s="4"/>
      <c r="AW862" s="4"/>
      <c r="AX862" s="4"/>
      <c r="AY862" s="4"/>
      <c r="AZ862" s="4"/>
      <c r="BA862" s="4"/>
      <c r="BB862" s="4"/>
      <c r="BC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c r="AP863" s="4"/>
      <c r="AQ863" s="4"/>
      <c r="AR863" s="4"/>
      <c r="AS863" s="4"/>
      <c r="AT863" s="4"/>
      <c r="AU863" s="4"/>
      <c r="AV863" s="4"/>
      <c r="AW863" s="4"/>
      <c r="AX863" s="4"/>
      <c r="AY863" s="4"/>
      <c r="AZ863" s="4"/>
      <c r="BA863" s="4"/>
      <c r="BB863" s="4"/>
      <c r="BC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c r="AP864" s="4"/>
      <c r="AQ864" s="4"/>
      <c r="AR864" s="4"/>
      <c r="AS864" s="4"/>
      <c r="AT864" s="4"/>
      <c r="AU864" s="4"/>
      <c r="AV864" s="4"/>
      <c r="AW864" s="4"/>
      <c r="AX864" s="4"/>
      <c r="AY864" s="4"/>
      <c r="AZ864" s="4"/>
      <c r="BA864" s="4"/>
      <c r="BB864" s="4"/>
      <c r="BC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c r="AP865" s="4"/>
      <c r="AQ865" s="4"/>
      <c r="AR865" s="4"/>
      <c r="AS865" s="4"/>
      <c r="AT865" s="4"/>
      <c r="AU865" s="4"/>
      <c r="AV865" s="4"/>
      <c r="AW865" s="4"/>
      <c r="AX865" s="4"/>
      <c r="AY865" s="4"/>
      <c r="AZ865" s="4"/>
      <c r="BA865" s="4"/>
      <c r="BB865" s="4"/>
      <c r="BC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c r="AP866" s="4"/>
      <c r="AQ866" s="4"/>
      <c r="AR866" s="4"/>
      <c r="AS866" s="4"/>
      <c r="AT866" s="4"/>
      <c r="AU866" s="4"/>
      <c r="AV866" s="4"/>
      <c r="AW866" s="4"/>
      <c r="AX866" s="4"/>
      <c r="AY866" s="4"/>
      <c r="AZ866" s="4"/>
      <c r="BA866" s="4"/>
      <c r="BB866" s="4"/>
      <c r="BC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c r="AP867" s="4"/>
      <c r="AQ867" s="4"/>
      <c r="AR867" s="4"/>
      <c r="AS867" s="4"/>
      <c r="AT867" s="4"/>
      <c r="AU867" s="4"/>
      <c r="AV867" s="4"/>
      <c r="AW867" s="4"/>
      <c r="AX867" s="4"/>
      <c r="AY867" s="4"/>
      <c r="AZ867" s="4"/>
      <c r="BA867" s="4"/>
      <c r="BB867" s="4"/>
      <c r="BC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c r="AP868" s="4"/>
      <c r="AQ868" s="4"/>
      <c r="AR868" s="4"/>
      <c r="AS868" s="4"/>
      <c r="AT868" s="4"/>
      <c r="AU868" s="4"/>
      <c r="AV868" s="4"/>
      <c r="AW868" s="4"/>
      <c r="AX868" s="4"/>
      <c r="AY868" s="4"/>
      <c r="AZ868" s="4"/>
      <c r="BA868" s="4"/>
      <c r="BB868" s="4"/>
      <c r="BC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c r="AP869" s="4"/>
      <c r="AQ869" s="4"/>
      <c r="AR869" s="4"/>
      <c r="AS869" s="4"/>
      <c r="AT869" s="4"/>
      <c r="AU869" s="4"/>
      <c r="AV869" s="4"/>
      <c r="AW869" s="4"/>
      <c r="AX869" s="4"/>
      <c r="AY869" s="4"/>
      <c r="AZ869" s="4"/>
      <c r="BA869" s="4"/>
      <c r="BB869" s="4"/>
      <c r="BC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c r="AP870" s="4"/>
      <c r="AQ870" s="4"/>
      <c r="AR870" s="4"/>
      <c r="AS870" s="4"/>
      <c r="AT870" s="4"/>
      <c r="AU870" s="4"/>
      <c r="AV870" s="4"/>
      <c r="AW870" s="4"/>
      <c r="AX870" s="4"/>
      <c r="AY870" s="4"/>
      <c r="AZ870" s="4"/>
      <c r="BA870" s="4"/>
      <c r="BB870" s="4"/>
      <c r="BC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c r="AP871" s="4"/>
      <c r="AQ871" s="4"/>
      <c r="AR871" s="4"/>
      <c r="AS871" s="4"/>
      <c r="AT871" s="4"/>
      <c r="AU871" s="4"/>
      <c r="AV871" s="4"/>
      <c r="AW871" s="4"/>
      <c r="AX871" s="4"/>
      <c r="AY871" s="4"/>
      <c r="AZ871" s="4"/>
      <c r="BA871" s="4"/>
      <c r="BB871" s="4"/>
      <c r="BC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c r="AP872" s="4"/>
      <c r="AQ872" s="4"/>
      <c r="AR872" s="4"/>
      <c r="AS872" s="4"/>
      <c r="AT872" s="4"/>
      <c r="AU872" s="4"/>
      <c r="AV872" s="4"/>
      <c r="AW872" s="4"/>
      <c r="AX872" s="4"/>
      <c r="AY872" s="4"/>
      <c r="AZ872" s="4"/>
      <c r="BA872" s="4"/>
      <c r="BB872" s="4"/>
      <c r="BC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c r="AP873" s="4"/>
      <c r="AQ873" s="4"/>
      <c r="AR873" s="4"/>
      <c r="AS873" s="4"/>
      <c r="AT873" s="4"/>
      <c r="AU873" s="4"/>
      <c r="AV873" s="4"/>
      <c r="AW873" s="4"/>
      <c r="AX873" s="4"/>
      <c r="AY873" s="4"/>
      <c r="AZ873" s="4"/>
      <c r="BA873" s="4"/>
      <c r="BB873" s="4"/>
      <c r="BC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c r="AP874" s="4"/>
      <c r="AQ874" s="4"/>
      <c r="AR874" s="4"/>
      <c r="AS874" s="4"/>
      <c r="AT874" s="4"/>
      <c r="AU874" s="4"/>
      <c r="AV874" s="4"/>
      <c r="AW874" s="4"/>
      <c r="AX874" s="4"/>
      <c r="AY874" s="4"/>
      <c r="AZ874" s="4"/>
      <c r="BA874" s="4"/>
      <c r="BB874" s="4"/>
      <c r="BC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c r="AP875" s="4"/>
      <c r="AQ875" s="4"/>
      <c r="AR875" s="4"/>
      <c r="AS875" s="4"/>
      <c r="AT875" s="4"/>
      <c r="AU875" s="4"/>
      <c r="AV875" s="4"/>
      <c r="AW875" s="4"/>
      <c r="AX875" s="4"/>
      <c r="AY875" s="4"/>
      <c r="AZ875" s="4"/>
      <c r="BA875" s="4"/>
      <c r="BB875" s="4"/>
      <c r="BC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c r="AP876" s="4"/>
      <c r="AQ876" s="4"/>
      <c r="AR876" s="4"/>
      <c r="AS876" s="4"/>
      <c r="AT876" s="4"/>
      <c r="AU876" s="4"/>
      <c r="AV876" s="4"/>
      <c r="AW876" s="4"/>
      <c r="AX876" s="4"/>
      <c r="AY876" s="4"/>
      <c r="AZ876" s="4"/>
      <c r="BA876" s="4"/>
      <c r="BB876" s="4"/>
      <c r="BC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c r="AP877" s="4"/>
      <c r="AQ877" s="4"/>
      <c r="AR877" s="4"/>
      <c r="AS877" s="4"/>
      <c r="AT877" s="4"/>
      <c r="AU877" s="4"/>
      <c r="AV877" s="4"/>
      <c r="AW877" s="4"/>
      <c r="AX877" s="4"/>
      <c r="AY877" s="4"/>
      <c r="AZ877" s="4"/>
      <c r="BA877" s="4"/>
      <c r="BB877" s="4"/>
      <c r="BC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c r="AP878" s="4"/>
      <c r="AQ878" s="4"/>
      <c r="AR878" s="4"/>
      <c r="AS878" s="4"/>
      <c r="AT878" s="4"/>
      <c r="AU878" s="4"/>
      <c r="AV878" s="4"/>
      <c r="AW878" s="4"/>
      <c r="AX878" s="4"/>
      <c r="AY878" s="4"/>
      <c r="AZ878" s="4"/>
      <c r="BA878" s="4"/>
      <c r="BB878" s="4"/>
      <c r="BC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c r="AP879" s="4"/>
      <c r="AQ879" s="4"/>
      <c r="AR879" s="4"/>
      <c r="AS879" s="4"/>
      <c r="AT879" s="4"/>
      <c r="AU879" s="4"/>
      <c r="AV879" s="4"/>
      <c r="AW879" s="4"/>
      <c r="AX879" s="4"/>
      <c r="AY879" s="4"/>
      <c r="AZ879" s="4"/>
      <c r="BA879" s="4"/>
      <c r="BB879" s="4"/>
      <c r="BC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c r="AP880" s="4"/>
      <c r="AQ880" s="4"/>
      <c r="AR880" s="4"/>
      <c r="AS880" s="4"/>
      <c r="AT880" s="4"/>
      <c r="AU880" s="4"/>
      <c r="AV880" s="4"/>
      <c r="AW880" s="4"/>
      <c r="AX880" s="4"/>
      <c r="AY880" s="4"/>
      <c r="AZ880" s="4"/>
      <c r="BA880" s="4"/>
      <c r="BB880" s="4"/>
      <c r="BC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c r="AP881" s="4"/>
      <c r="AQ881" s="4"/>
      <c r="AR881" s="4"/>
      <c r="AS881" s="4"/>
      <c r="AT881" s="4"/>
      <c r="AU881" s="4"/>
      <c r="AV881" s="4"/>
      <c r="AW881" s="4"/>
      <c r="AX881" s="4"/>
      <c r="AY881" s="4"/>
      <c r="AZ881" s="4"/>
      <c r="BA881" s="4"/>
      <c r="BB881" s="4"/>
      <c r="BC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c r="AP882" s="4"/>
      <c r="AQ882" s="4"/>
      <c r="AR882" s="4"/>
      <c r="AS882" s="4"/>
      <c r="AT882" s="4"/>
      <c r="AU882" s="4"/>
      <c r="AV882" s="4"/>
      <c r="AW882" s="4"/>
      <c r="AX882" s="4"/>
      <c r="AY882" s="4"/>
      <c r="AZ882" s="4"/>
      <c r="BA882" s="4"/>
      <c r="BB882" s="4"/>
      <c r="BC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c r="AP883" s="4"/>
      <c r="AQ883" s="4"/>
      <c r="AR883" s="4"/>
      <c r="AS883" s="4"/>
      <c r="AT883" s="4"/>
      <c r="AU883" s="4"/>
      <c r="AV883" s="4"/>
      <c r="AW883" s="4"/>
      <c r="AX883" s="4"/>
      <c r="AY883" s="4"/>
      <c r="AZ883" s="4"/>
      <c r="BA883" s="4"/>
      <c r="BB883" s="4"/>
      <c r="BC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c r="AP884" s="4"/>
      <c r="AQ884" s="4"/>
      <c r="AR884" s="4"/>
      <c r="AS884" s="4"/>
      <c r="AT884" s="4"/>
      <c r="AU884" s="4"/>
      <c r="AV884" s="4"/>
      <c r="AW884" s="4"/>
      <c r="AX884" s="4"/>
      <c r="AY884" s="4"/>
      <c r="AZ884" s="4"/>
      <c r="BA884" s="4"/>
      <c r="BB884" s="4"/>
      <c r="BC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c r="AP885" s="4"/>
      <c r="AQ885" s="4"/>
      <c r="AR885" s="4"/>
      <c r="AS885" s="4"/>
      <c r="AT885" s="4"/>
      <c r="AU885" s="4"/>
      <c r="AV885" s="4"/>
      <c r="AW885" s="4"/>
      <c r="AX885" s="4"/>
      <c r="AY885" s="4"/>
      <c r="AZ885" s="4"/>
      <c r="BA885" s="4"/>
      <c r="BB885" s="4"/>
      <c r="BC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c r="AP886" s="4"/>
      <c r="AQ886" s="4"/>
      <c r="AR886" s="4"/>
      <c r="AS886" s="4"/>
      <c r="AT886" s="4"/>
      <c r="AU886" s="4"/>
      <c r="AV886" s="4"/>
      <c r="AW886" s="4"/>
      <c r="AX886" s="4"/>
      <c r="AY886" s="4"/>
      <c r="AZ886" s="4"/>
      <c r="BA886" s="4"/>
      <c r="BB886" s="4"/>
      <c r="BC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c r="AP887" s="4"/>
      <c r="AQ887" s="4"/>
      <c r="AR887" s="4"/>
      <c r="AS887" s="4"/>
      <c r="AT887" s="4"/>
      <c r="AU887" s="4"/>
      <c r="AV887" s="4"/>
      <c r="AW887" s="4"/>
      <c r="AX887" s="4"/>
      <c r="AY887" s="4"/>
      <c r="AZ887" s="4"/>
      <c r="BA887" s="4"/>
      <c r="BB887" s="4"/>
      <c r="BC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c r="AP888" s="4"/>
      <c r="AQ888" s="4"/>
      <c r="AR888" s="4"/>
      <c r="AS888" s="4"/>
      <c r="AT888" s="4"/>
      <c r="AU888" s="4"/>
      <c r="AV888" s="4"/>
      <c r="AW888" s="4"/>
      <c r="AX888" s="4"/>
      <c r="AY888" s="4"/>
      <c r="AZ888" s="4"/>
      <c r="BA888" s="4"/>
      <c r="BB888" s="4"/>
      <c r="BC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c r="AP889" s="4"/>
      <c r="AQ889" s="4"/>
      <c r="AR889" s="4"/>
      <c r="AS889" s="4"/>
      <c r="AT889" s="4"/>
      <c r="AU889" s="4"/>
      <c r="AV889" s="4"/>
      <c r="AW889" s="4"/>
      <c r="AX889" s="4"/>
      <c r="AY889" s="4"/>
      <c r="AZ889" s="4"/>
      <c r="BA889" s="4"/>
      <c r="BB889" s="4"/>
      <c r="BC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c r="AP890" s="4"/>
      <c r="AQ890" s="4"/>
      <c r="AR890" s="4"/>
      <c r="AS890" s="4"/>
      <c r="AT890" s="4"/>
      <c r="AU890" s="4"/>
      <c r="AV890" s="4"/>
      <c r="AW890" s="4"/>
      <c r="AX890" s="4"/>
      <c r="AY890" s="4"/>
      <c r="AZ890" s="4"/>
      <c r="BA890" s="4"/>
      <c r="BB890" s="4"/>
      <c r="BC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c r="AP891" s="4"/>
      <c r="AQ891" s="4"/>
      <c r="AR891" s="4"/>
      <c r="AS891" s="4"/>
      <c r="AT891" s="4"/>
      <c r="AU891" s="4"/>
      <c r="AV891" s="4"/>
      <c r="AW891" s="4"/>
      <c r="AX891" s="4"/>
      <c r="AY891" s="4"/>
      <c r="AZ891" s="4"/>
      <c r="BA891" s="4"/>
      <c r="BB891" s="4"/>
      <c r="BC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c r="AP892" s="4"/>
      <c r="AQ892" s="4"/>
      <c r="AR892" s="4"/>
      <c r="AS892" s="4"/>
      <c r="AT892" s="4"/>
      <c r="AU892" s="4"/>
      <c r="AV892" s="4"/>
      <c r="AW892" s="4"/>
      <c r="AX892" s="4"/>
      <c r="AY892" s="4"/>
      <c r="AZ892" s="4"/>
      <c r="BA892" s="4"/>
      <c r="BB892" s="4"/>
      <c r="BC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c r="AP893" s="4"/>
      <c r="AQ893" s="4"/>
      <c r="AR893" s="4"/>
      <c r="AS893" s="4"/>
      <c r="AT893" s="4"/>
      <c r="AU893" s="4"/>
      <c r="AV893" s="4"/>
      <c r="AW893" s="4"/>
      <c r="AX893" s="4"/>
      <c r="AY893" s="4"/>
      <c r="AZ893" s="4"/>
      <c r="BA893" s="4"/>
      <c r="BB893" s="4"/>
      <c r="BC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c r="AP894" s="4"/>
      <c r="AQ894" s="4"/>
      <c r="AR894" s="4"/>
      <c r="AS894" s="4"/>
      <c r="AT894" s="4"/>
      <c r="AU894" s="4"/>
      <c r="AV894" s="4"/>
      <c r="AW894" s="4"/>
      <c r="AX894" s="4"/>
      <c r="AY894" s="4"/>
      <c r="AZ894" s="4"/>
      <c r="BA894" s="4"/>
      <c r="BB894" s="4"/>
      <c r="BC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c r="AP895" s="4"/>
      <c r="AQ895" s="4"/>
      <c r="AR895" s="4"/>
      <c r="AS895" s="4"/>
      <c r="AT895" s="4"/>
      <c r="AU895" s="4"/>
      <c r="AV895" s="4"/>
      <c r="AW895" s="4"/>
      <c r="AX895" s="4"/>
      <c r="AY895" s="4"/>
      <c r="AZ895" s="4"/>
      <c r="BA895" s="4"/>
      <c r="BB895" s="4"/>
      <c r="BC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c r="AP896" s="4"/>
      <c r="AQ896" s="4"/>
      <c r="AR896" s="4"/>
      <c r="AS896" s="4"/>
      <c r="AT896" s="4"/>
      <c r="AU896" s="4"/>
      <c r="AV896" s="4"/>
      <c r="AW896" s="4"/>
      <c r="AX896" s="4"/>
      <c r="AY896" s="4"/>
      <c r="AZ896" s="4"/>
      <c r="BA896" s="4"/>
      <c r="BB896" s="4"/>
      <c r="BC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c r="AP897" s="4"/>
      <c r="AQ897" s="4"/>
      <c r="AR897" s="4"/>
      <c r="AS897" s="4"/>
      <c r="AT897" s="4"/>
      <c r="AU897" s="4"/>
      <c r="AV897" s="4"/>
      <c r="AW897" s="4"/>
      <c r="AX897" s="4"/>
      <c r="AY897" s="4"/>
      <c r="AZ897" s="4"/>
      <c r="BA897" s="4"/>
      <c r="BB897" s="4"/>
      <c r="BC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c r="AP898" s="4"/>
      <c r="AQ898" s="4"/>
      <c r="AR898" s="4"/>
      <c r="AS898" s="4"/>
      <c r="AT898" s="4"/>
      <c r="AU898" s="4"/>
      <c r="AV898" s="4"/>
      <c r="AW898" s="4"/>
      <c r="AX898" s="4"/>
      <c r="AY898" s="4"/>
      <c r="AZ898" s="4"/>
      <c r="BA898" s="4"/>
      <c r="BB898" s="4"/>
      <c r="BC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c r="AP899" s="4"/>
      <c r="AQ899" s="4"/>
      <c r="AR899" s="4"/>
      <c r="AS899" s="4"/>
      <c r="AT899" s="4"/>
      <c r="AU899" s="4"/>
      <c r="AV899" s="4"/>
      <c r="AW899" s="4"/>
      <c r="AX899" s="4"/>
      <c r="AY899" s="4"/>
      <c r="AZ899" s="4"/>
      <c r="BA899" s="4"/>
      <c r="BB899" s="4"/>
      <c r="BC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c r="AP900" s="4"/>
      <c r="AQ900" s="4"/>
      <c r="AR900" s="4"/>
      <c r="AS900" s="4"/>
      <c r="AT900" s="4"/>
      <c r="AU900" s="4"/>
      <c r="AV900" s="4"/>
      <c r="AW900" s="4"/>
      <c r="AX900" s="4"/>
      <c r="AY900" s="4"/>
      <c r="AZ900" s="4"/>
      <c r="BA900" s="4"/>
      <c r="BB900" s="4"/>
      <c r="BC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c r="AP901" s="4"/>
      <c r="AQ901" s="4"/>
      <c r="AR901" s="4"/>
      <c r="AS901" s="4"/>
      <c r="AT901" s="4"/>
      <c r="AU901" s="4"/>
      <c r="AV901" s="4"/>
      <c r="AW901" s="4"/>
      <c r="AX901" s="4"/>
      <c r="AY901" s="4"/>
      <c r="AZ901" s="4"/>
      <c r="BA901" s="4"/>
      <c r="BB901" s="4"/>
      <c r="BC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c r="AP902" s="4"/>
      <c r="AQ902" s="4"/>
      <c r="AR902" s="4"/>
      <c r="AS902" s="4"/>
      <c r="AT902" s="4"/>
      <c r="AU902" s="4"/>
      <c r="AV902" s="4"/>
      <c r="AW902" s="4"/>
      <c r="AX902" s="4"/>
      <c r="AY902" s="4"/>
      <c r="AZ902" s="4"/>
      <c r="BA902" s="4"/>
      <c r="BB902" s="4"/>
      <c r="BC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c r="AP903" s="4"/>
      <c r="AQ903" s="4"/>
      <c r="AR903" s="4"/>
      <c r="AS903" s="4"/>
      <c r="AT903" s="4"/>
      <c r="AU903" s="4"/>
      <c r="AV903" s="4"/>
      <c r="AW903" s="4"/>
      <c r="AX903" s="4"/>
      <c r="AY903" s="4"/>
      <c r="AZ903" s="4"/>
      <c r="BA903" s="4"/>
      <c r="BB903" s="4"/>
      <c r="BC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c r="AP904" s="4"/>
      <c r="AQ904" s="4"/>
      <c r="AR904" s="4"/>
      <c r="AS904" s="4"/>
      <c r="AT904" s="4"/>
      <c r="AU904" s="4"/>
      <c r="AV904" s="4"/>
      <c r="AW904" s="4"/>
      <c r="AX904" s="4"/>
      <c r="AY904" s="4"/>
      <c r="AZ904" s="4"/>
      <c r="BA904" s="4"/>
      <c r="BB904" s="4"/>
      <c r="BC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c r="AP905" s="4"/>
      <c r="AQ905" s="4"/>
      <c r="AR905" s="4"/>
      <c r="AS905" s="4"/>
      <c r="AT905" s="4"/>
      <c r="AU905" s="4"/>
      <c r="AV905" s="4"/>
      <c r="AW905" s="4"/>
      <c r="AX905" s="4"/>
      <c r="AY905" s="4"/>
      <c r="AZ905" s="4"/>
      <c r="BA905" s="4"/>
      <c r="BB905" s="4"/>
      <c r="BC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c r="AP906" s="4"/>
      <c r="AQ906" s="4"/>
      <c r="AR906" s="4"/>
      <c r="AS906" s="4"/>
      <c r="AT906" s="4"/>
      <c r="AU906" s="4"/>
      <c r="AV906" s="4"/>
      <c r="AW906" s="4"/>
      <c r="AX906" s="4"/>
      <c r="AY906" s="4"/>
      <c r="AZ906" s="4"/>
      <c r="BA906" s="4"/>
      <c r="BB906" s="4"/>
      <c r="BC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c r="AP907" s="4"/>
      <c r="AQ907" s="4"/>
      <c r="AR907" s="4"/>
      <c r="AS907" s="4"/>
      <c r="AT907" s="4"/>
      <c r="AU907" s="4"/>
      <c r="AV907" s="4"/>
      <c r="AW907" s="4"/>
      <c r="AX907" s="4"/>
      <c r="AY907" s="4"/>
      <c r="AZ907" s="4"/>
      <c r="BA907" s="4"/>
      <c r="BB907" s="4"/>
      <c r="BC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c r="AP908" s="4"/>
      <c r="AQ908" s="4"/>
      <c r="AR908" s="4"/>
      <c r="AS908" s="4"/>
      <c r="AT908" s="4"/>
      <c r="AU908" s="4"/>
      <c r="AV908" s="4"/>
      <c r="AW908" s="4"/>
      <c r="AX908" s="4"/>
      <c r="AY908" s="4"/>
      <c r="AZ908" s="4"/>
      <c r="BA908" s="4"/>
      <c r="BB908" s="4"/>
      <c r="BC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c r="AP909" s="4"/>
      <c r="AQ909" s="4"/>
      <c r="AR909" s="4"/>
      <c r="AS909" s="4"/>
      <c r="AT909" s="4"/>
      <c r="AU909" s="4"/>
      <c r="AV909" s="4"/>
      <c r="AW909" s="4"/>
      <c r="AX909" s="4"/>
      <c r="AY909" s="4"/>
      <c r="AZ909" s="4"/>
      <c r="BA909" s="4"/>
      <c r="BB909" s="4"/>
      <c r="BC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c r="AP910" s="4"/>
      <c r="AQ910" s="4"/>
      <c r="AR910" s="4"/>
      <c r="AS910" s="4"/>
      <c r="AT910" s="4"/>
      <c r="AU910" s="4"/>
      <c r="AV910" s="4"/>
      <c r="AW910" s="4"/>
      <c r="AX910" s="4"/>
      <c r="AY910" s="4"/>
      <c r="AZ910" s="4"/>
      <c r="BA910" s="4"/>
      <c r="BB910" s="4"/>
      <c r="BC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c r="AP911" s="4"/>
      <c r="AQ911" s="4"/>
      <c r="AR911" s="4"/>
      <c r="AS911" s="4"/>
      <c r="AT911" s="4"/>
      <c r="AU911" s="4"/>
      <c r="AV911" s="4"/>
      <c r="AW911" s="4"/>
      <c r="AX911" s="4"/>
      <c r="AY911" s="4"/>
      <c r="AZ911" s="4"/>
      <c r="BA911" s="4"/>
      <c r="BB911" s="4"/>
      <c r="BC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c r="AP912" s="4"/>
      <c r="AQ912" s="4"/>
      <c r="AR912" s="4"/>
      <c r="AS912" s="4"/>
      <c r="AT912" s="4"/>
      <c r="AU912" s="4"/>
      <c r="AV912" s="4"/>
      <c r="AW912" s="4"/>
      <c r="AX912" s="4"/>
      <c r="AY912" s="4"/>
      <c r="AZ912" s="4"/>
      <c r="BA912" s="4"/>
      <c r="BB912" s="4"/>
      <c r="BC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c r="AP913" s="4"/>
      <c r="AQ913" s="4"/>
      <c r="AR913" s="4"/>
      <c r="AS913" s="4"/>
      <c r="AT913" s="4"/>
      <c r="AU913" s="4"/>
      <c r="AV913" s="4"/>
      <c r="AW913" s="4"/>
      <c r="AX913" s="4"/>
      <c r="AY913" s="4"/>
      <c r="AZ913" s="4"/>
      <c r="BA913" s="4"/>
      <c r="BB913" s="4"/>
      <c r="BC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c r="AP914" s="4"/>
      <c r="AQ914" s="4"/>
      <c r="AR914" s="4"/>
      <c r="AS914" s="4"/>
      <c r="AT914" s="4"/>
      <c r="AU914" s="4"/>
      <c r="AV914" s="4"/>
      <c r="AW914" s="4"/>
      <c r="AX914" s="4"/>
      <c r="AY914" s="4"/>
      <c r="AZ914" s="4"/>
      <c r="BA914" s="4"/>
      <c r="BB914" s="4"/>
      <c r="BC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c r="AP915" s="4"/>
      <c r="AQ915" s="4"/>
      <c r="AR915" s="4"/>
      <c r="AS915" s="4"/>
      <c r="AT915" s="4"/>
      <c r="AU915" s="4"/>
      <c r="AV915" s="4"/>
      <c r="AW915" s="4"/>
      <c r="AX915" s="4"/>
      <c r="AY915" s="4"/>
      <c r="AZ915" s="4"/>
      <c r="BA915" s="4"/>
      <c r="BB915" s="4"/>
      <c r="BC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c r="AP916" s="4"/>
      <c r="AQ916" s="4"/>
      <c r="AR916" s="4"/>
      <c r="AS916" s="4"/>
      <c r="AT916" s="4"/>
      <c r="AU916" s="4"/>
      <c r="AV916" s="4"/>
      <c r="AW916" s="4"/>
      <c r="AX916" s="4"/>
      <c r="AY916" s="4"/>
      <c r="AZ916" s="4"/>
      <c r="BA916" s="4"/>
      <c r="BB916" s="4"/>
      <c r="BC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c r="AP917" s="4"/>
      <c r="AQ917" s="4"/>
      <c r="AR917" s="4"/>
      <c r="AS917" s="4"/>
      <c r="AT917" s="4"/>
      <c r="AU917" s="4"/>
      <c r="AV917" s="4"/>
      <c r="AW917" s="4"/>
      <c r="AX917" s="4"/>
      <c r="AY917" s="4"/>
      <c r="AZ917" s="4"/>
      <c r="BA917" s="4"/>
      <c r="BB917" s="4"/>
      <c r="BC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c r="AP918" s="4"/>
      <c r="AQ918" s="4"/>
      <c r="AR918" s="4"/>
      <c r="AS918" s="4"/>
      <c r="AT918" s="4"/>
      <c r="AU918" s="4"/>
      <c r="AV918" s="4"/>
      <c r="AW918" s="4"/>
      <c r="AX918" s="4"/>
      <c r="AY918" s="4"/>
      <c r="AZ918" s="4"/>
      <c r="BA918" s="4"/>
      <c r="BB918" s="4"/>
      <c r="BC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c r="AP919" s="4"/>
      <c r="AQ919" s="4"/>
      <c r="AR919" s="4"/>
      <c r="AS919" s="4"/>
      <c r="AT919" s="4"/>
      <c r="AU919" s="4"/>
      <c r="AV919" s="4"/>
      <c r="AW919" s="4"/>
      <c r="AX919" s="4"/>
      <c r="AY919" s="4"/>
      <c r="AZ919" s="4"/>
      <c r="BA919" s="4"/>
      <c r="BB919" s="4"/>
      <c r="BC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c r="AP920" s="4"/>
      <c r="AQ920" s="4"/>
      <c r="AR920" s="4"/>
      <c r="AS920" s="4"/>
      <c r="AT920" s="4"/>
      <c r="AU920" s="4"/>
      <c r="AV920" s="4"/>
      <c r="AW920" s="4"/>
      <c r="AX920" s="4"/>
      <c r="AY920" s="4"/>
      <c r="AZ920" s="4"/>
      <c r="BA920" s="4"/>
      <c r="BB920" s="4"/>
      <c r="BC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c r="AP921" s="4"/>
      <c r="AQ921" s="4"/>
      <c r="AR921" s="4"/>
      <c r="AS921" s="4"/>
      <c r="AT921" s="4"/>
      <c r="AU921" s="4"/>
      <c r="AV921" s="4"/>
      <c r="AW921" s="4"/>
      <c r="AX921" s="4"/>
      <c r="AY921" s="4"/>
      <c r="AZ921" s="4"/>
      <c r="BA921" s="4"/>
      <c r="BB921" s="4"/>
      <c r="BC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c r="AP922" s="4"/>
      <c r="AQ922" s="4"/>
      <c r="AR922" s="4"/>
      <c r="AS922" s="4"/>
      <c r="AT922" s="4"/>
      <c r="AU922" s="4"/>
      <c r="AV922" s="4"/>
      <c r="AW922" s="4"/>
      <c r="AX922" s="4"/>
      <c r="AY922" s="4"/>
      <c r="AZ922" s="4"/>
      <c r="BA922" s="4"/>
      <c r="BB922" s="4"/>
      <c r="BC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c r="AP923" s="4"/>
      <c r="AQ923" s="4"/>
      <c r="AR923" s="4"/>
      <c r="AS923" s="4"/>
      <c r="AT923" s="4"/>
      <c r="AU923" s="4"/>
      <c r="AV923" s="4"/>
      <c r="AW923" s="4"/>
      <c r="AX923" s="4"/>
      <c r="AY923" s="4"/>
      <c r="AZ923" s="4"/>
      <c r="BA923" s="4"/>
      <c r="BB923" s="4"/>
      <c r="BC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c r="AP924" s="4"/>
      <c r="AQ924" s="4"/>
      <c r="AR924" s="4"/>
      <c r="AS924" s="4"/>
      <c r="AT924" s="4"/>
      <c r="AU924" s="4"/>
      <c r="AV924" s="4"/>
      <c r="AW924" s="4"/>
      <c r="AX924" s="4"/>
      <c r="AY924" s="4"/>
      <c r="AZ924" s="4"/>
      <c r="BA924" s="4"/>
      <c r="BB924" s="4"/>
      <c r="BC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c r="AP925" s="4"/>
      <c r="AQ925" s="4"/>
      <c r="AR925" s="4"/>
      <c r="AS925" s="4"/>
      <c r="AT925" s="4"/>
      <c r="AU925" s="4"/>
      <c r="AV925" s="4"/>
      <c r="AW925" s="4"/>
      <c r="AX925" s="4"/>
      <c r="AY925" s="4"/>
      <c r="AZ925" s="4"/>
      <c r="BA925" s="4"/>
      <c r="BB925" s="4"/>
      <c r="BC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c r="AP926" s="4"/>
      <c r="AQ926" s="4"/>
      <c r="AR926" s="4"/>
      <c r="AS926" s="4"/>
      <c r="AT926" s="4"/>
      <c r="AU926" s="4"/>
      <c r="AV926" s="4"/>
      <c r="AW926" s="4"/>
      <c r="AX926" s="4"/>
      <c r="AY926" s="4"/>
      <c r="AZ926" s="4"/>
      <c r="BA926" s="4"/>
      <c r="BB926" s="4"/>
      <c r="BC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c r="AP927" s="4"/>
      <c r="AQ927" s="4"/>
      <c r="AR927" s="4"/>
      <c r="AS927" s="4"/>
      <c r="AT927" s="4"/>
      <c r="AU927" s="4"/>
      <c r="AV927" s="4"/>
      <c r="AW927" s="4"/>
      <c r="AX927" s="4"/>
      <c r="AY927" s="4"/>
      <c r="AZ927" s="4"/>
      <c r="BA927" s="4"/>
      <c r="BB927" s="4"/>
      <c r="BC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c r="AP928" s="4"/>
      <c r="AQ928" s="4"/>
      <c r="AR928" s="4"/>
      <c r="AS928" s="4"/>
      <c r="AT928" s="4"/>
      <c r="AU928" s="4"/>
      <c r="AV928" s="4"/>
      <c r="AW928" s="4"/>
      <c r="AX928" s="4"/>
      <c r="AY928" s="4"/>
      <c r="AZ928" s="4"/>
      <c r="BA928" s="4"/>
      <c r="BB928" s="4"/>
      <c r="BC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c r="AP929" s="4"/>
      <c r="AQ929" s="4"/>
      <c r="AR929" s="4"/>
      <c r="AS929" s="4"/>
      <c r="AT929" s="4"/>
      <c r="AU929" s="4"/>
      <c r="AV929" s="4"/>
      <c r="AW929" s="4"/>
      <c r="AX929" s="4"/>
      <c r="AY929" s="4"/>
      <c r="AZ929" s="4"/>
      <c r="BA929" s="4"/>
      <c r="BB929" s="4"/>
      <c r="BC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c r="AP930" s="4"/>
      <c r="AQ930" s="4"/>
      <c r="AR930" s="4"/>
      <c r="AS930" s="4"/>
      <c r="AT930" s="4"/>
      <c r="AU930" s="4"/>
      <c r="AV930" s="4"/>
      <c r="AW930" s="4"/>
      <c r="AX930" s="4"/>
      <c r="AY930" s="4"/>
      <c r="AZ930" s="4"/>
      <c r="BA930" s="4"/>
      <c r="BB930" s="4"/>
      <c r="BC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c r="AP931" s="4"/>
      <c r="AQ931" s="4"/>
      <c r="AR931" s="4"/>
      <c r="AS931" s="4"/>
      <c r="AT931" s="4"/>
      <c r="AU931" s="4"/>
      <c r="AV931" s="4"/>
      <c r="AW931" s="4"/>
      <c r="AX931" s="4"/>
      <c r="AY931" s="4"/>
      <c r="AZ931" s="4"/>
      <c r="BA931" s="4"/>
      <c r="BB931" s="4"/>
      <c r="BC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c r="AP932" s="4"/>
      <c r="AQ932" s="4"/>
      <c r="AR932" s="4"/>
      <c r="AS932" s="4"/>
      <c r="AT932" s="4"/>
      <c r="AU932" s="4"/>
      <c r="AV932" s="4"/>
      <c r="AW932" s="4"/>
      <c r="AX932" s="4"/>
      <c r="AY932" s="4"/>
      <c r="AZ932" s="4"/>
      <c r="BA932" s="4"/>
      <c r="BB932" s="4"/>
      <c r="BC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c r="AP933" s="4"/>
      <c r="AQ933" s="4"/>
      <c r="AR933" s="4"/>
      <c r="AS933" s="4"/>
      <c r="AT933" s="4"/>
      <c r="AU933" s="4"/>
      <c r="AV933" s="4"/>
      <c r="AW933" s="4"/>
      <c r="AX933" s="4"/>
      <c r="AY933" s="4"/>
      <c r="AZ933" s="4"/>
      <c r="BA933" s="4"/>
      <c r="BB933" s="4"/>
      <c r="BC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c r="AP934" s="4"/>
      <c r="AQ934" s="4"/>
      <c r="AR934" s="4"/>
      <c r="AS934" s="4"/>
      <c r="AT934" s="4"/>
      <c r="AU934" s="4"/>
      <c r="AV934" s="4"/>
      <c r="AW934" s="4"/>
      <c r="AX934" s="4"/>
      <c r="AY934" s="4"/>
      <c r="AZ934" s="4"/>
      <c r="BA934" s="4"/>
      <c r="BB934" s="4"/>
      <c r="BC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c r="AP935" s="4"/>
      <c r="AQ935" s="4"/>
      <c r="AR935" s="4"/>
      <c r="AS935" s="4"/>
      <c r="AT935" s="4"/>
      <c r="AU935" s="4"/>
      <c r="AV935" s="4"/>
      <c r="AW935" s="4"/>
      <c r="AX935" s="4"/>
      <c r="AY935" s="4"/>
      <c r="AZ935" s="4"/>
      <c r="BA935" s="4"/>
      <c r="BB935" s="4"/>
      <c r="BC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c r="AP936" s="4"/>
      <c r="AQ936" s="4"/>
      <c r="AR936" s="4"/>
      <c r="AS936" s="4"/>
      <c r="AT936" s="4"/>
      <c r="AU936" s="4"/>
      <c r="AV936" s="4"/>
      <c r="AW936" s="4"/>
      <c r="AX936" s="4"/>
      <c r="AY936" s="4"/>
      <c r="AZ936" s="4"/>
      <c r="BA936" s="4"/>
      <c r="BB936" s="4"/>
      <c r="BC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c r="AP937" s="4"/>
      <c r="AQ937" s="4"/>
      <c r="AR937" s="4"/>
      <c r="AS937" s="4"/>
      <c r="AT937" s="4"/>
      <c r="AU937" s="4"/>
      <c r="AV937" s="4"/>
      <c r="AW937" s="4"/>
      <c r="AX937" s="4"/>
      <c r="AY937" s="4"/>
      <c r="AZ937" s="4"/>
      <c r="BA937" s="4"/>
      <c r="BB937" s="4"/>
      <c r="BC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c r="AP938" s="4"/>
      <c r="AQ938" s="4"/>
      <c r="AR938" s="4"/>
      <c r="AS938" s="4"/>
      <c r="AT938" s="4"/>
      <c r="AU938" s="4"/>
      <c r="AV938" s="4"/>
      <c r="AW938" s="4"/>
      <c r="AX938" s="4"/>
      <c r="AY938" s="4"/>
      <c r="AZ938" s="4"/>
      <c r="BA938" s="4"/>
      <c r="BB938" s="4"/>
      <c r="BC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c r="AP939" s="4"/>
      <c r="AQ939" s="4"/>
      <c r="AR939" s="4"/>
      <c r="AS939" s="4"/>
      <c r="AT939" s="4"/>
      <c r="AU939" s="4"/>
      <c r="AV939" s="4"/>
      <c r="AW939" s="4"/>
      <c r="AX939" s="4"/>
      <c r="AY939" s="4"/>
      <c r="AZ939" s="4"/>
      <c r="BA939" s="4"/>
      <c r="BB939" s="4"/>
      <c r="BC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c r="AP940" s="4"/>
      <c r="AQ940" s="4"/>
      <c r="AR940" s="4"/>
      <c r="AS940" s="4"/>
      <c r="AT940" s="4"/>
      <c r="AU940" s="4"/>
      <c r="AV940" s="4"/>
      <c r="AW940" s="4"/>
      <c r="AX940" s="4"/>
      <c r="AY940" s="4"/>
      <c r="AZ940" s="4"/>
      <c r="BA940" s="4"/>
      <c r="BB940" s="4"/>
      <c r="BC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c r="AP941" s="4"/>
      <c r="AQ941" s="4"/>
      <c r="AR941" s="4"/>
      <c r="AS941" s="4"/>
      <c r="AT941" s="4"/>
      <c r="AU941" s="4"/>
      <c r="AV941" s="4"/>
      <c r="AW941" s="4"/>
      <c r="AX941" s="4"/>
      <c r="AY941" s="4"/>
      <c r="AZ941" s="4"/>
      <c r="BA941" s="4"/>
      <c r="BB941" s="4"/>
      <c r="BC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c r="AP942" s="4"/>
      <c r="AQ942" s="4"/>
      <c r="AR942" s="4"/>
      <c r="AS942" s="4"/>
      <c r="AT942" s="4"/>
      <c r="AU942" s="4"/>
      <c r="AV942" s="4"/>
      <c r="AW942" s="4"/>
      <c r="AX942" s="4"/>
      <c r="AY942" s="4"/>
      <c r="AZ942" s="4"/>
      <c r="BA942" s="4"/>
      <c r="BB942" s="4"/>
      <c r="BC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c r="AP943" s="4"/>
      <c r="AQ943" s="4"/>
      <c r="AR943" s="4"/>
      <c r="AS943" s="4"/>
      <c r="AT943" s="4"/>
      <c r="AU943" s="4"/>
      <c r="AV943" s="4"/>
      <c r="AW943" s="4"/>
      <c r="AX943" s="4"/>
      <c r="AY943" s="4"/>
      <c r="AZ943" s="4"/>
      <c r="BA943" s="4"/>
      <c r="BB943" s="4"/>
      <c r="BC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c r="AP944" s="4"/>
      <c r="AQ944" s="4"/>
      <c r="AR944" s="4"/>
      <c r="AS944" s="4"/>
      <c r="AT944" s="4"/>
      <c r="AU944" s="4"/>
      <c r="AV944" s="4"/>
      <c r="AW944" s="4"/>
      <c r="AX944" s="4"/>
      <c r="AY944" s="4"/>
      <c r="AZ944" s="4"/>
      <c r="BA944" s="4"/>
      <c r="BB944" s="4"/>
      <c r="BC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c r="AP945" s="4"/>
      <c r="AQ945" s="4"/>
      <c r="AR945" s="4"/>
      <c r="AS945" s="4"/>
      <c r="AT945" s="4"/>
      <c r="AU945" s="4"/>
      <c r="AV945" s="4"/>
      <c r="AW945" s="4"/>
      <c r="AX945" s="4"/>
      <c r="AY945" s="4"/>
      <c r="AZ945" s="4"/>
      <c r="BA945" s="4"/>
      <c r="BB945" s="4"/>
      <c r="BC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c r="AP946" s="4"/>
      <c r="AQ946" s="4"/>
      <c r="AR946" s="4"/>
      <c r="AS946" s="4"/>
      <c r="AT946" s="4"/>
      <c r="AU946" s="4"/>
      <c r="AV946" s="4"/>
      <c r="AW946" s="4"/>
      <c r="AX946" s="4"/>
      <c r="AY946" s="4"/>
      <c r="AZ946" s="4"/>
      <c r="BA946" s="4"/>
      <c r="BB946" s="4"/>
      <c r="BC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c r="AP947" s="4"/>
      <c r="AQ947" s="4"/>
      <c r="AR947" s="4"/>
      <c r="AS947" s="4"/>
      <c r="AT947" s="4"/>
      <c r="AU947" s="4"/>
      <c r="AV947" s="4"/>
      <c r="AW947" s="4"/>
      <c r="AX947" s="4"/>
      <c r="AY947" s="4"/>
      <c r="AZ947" s="4"/>
      <c r="BA947" s="4"/>
      <c r="BB947" s="4"/>
      <c r="BC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c r="AP948" s="4"/>
      <c r="AQ948" s="4"/>
      <c r="AR948" s="4"/>
      <c r="AS948" s="4"/>
      <c r="AT948" s="4"/>
      <c r="AU948" s="4"/>
      <c r="AV948" s="4"/>
      <c r="AW948" s="4"/>
      <c r="AX948" s="4"/>
      <c r="AY948" s="4"/>
      <c r="AZ948" s="4"/>
      <c r="BA948" s="4"/>
      <c r="BB948" s="4"/>
      <c r="BC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c r="AP949" s="4"/>
      <c r="AQ949" s="4"/>
      <c r="AR949" s="4"/>
      <c r="AS949" s="4"/>
      <c r="AT949" s="4"/>
      <c r="AU949" s="4"/>
      <c r="AV949" s="4"/>
      <c r="AW949" s="4"/>
      <c r="AX949" s="4"/>
      <c r="AY949" s="4"/>
      <c r="AZ949" s="4"/>
      <c r="BA949" s="4"/>
      <c r="BB949" s="4"/>
      <c r="BC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c r="AG950" s="4"/>
      <c r="AH950" s="4"/>
      <c r="AI950" s="4"/>
      <c r="AJ950" s="4"/>
      <c r="AK950" s="4"/>
      <c r="AL950" s="4"/>
      <c r="AM950" s="4"/>
      <c r="AN950" s="4"/>
      <c r="AO950" s="4"/>
      <c r="AP950" s="4"/>
      <c r="AQ950" s="4"/>
      <c r="AR950" s="4"/>
      <c r="AS950" s="4"/>
      <c r="AT950" s="4"/>
      <c r="AU950" s="4"/>
      <c r="AV950" s="4"/>
      <c r="AW950" s="4"/>
      <c r="AX950" s="4"/>
      <c r="AY950" s="4"/>
      <c r="AZ950" s="4"/>
      <c r="BA950" s="4"/>
      <c r="BB950" s="4"/>
      <c r="BC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c r="AG951" s="4"/>
      <c r="AH951" s="4"/>
      <c r="AI951" s="4"/>
      <c r="AJ951" s="4"/>
      <c r="AK951" s="4"/>
      <c r="AL951" s="4"/>
      <c r="AM951" s="4"/>
      <c r="AN951" s="4"/>
      <c r="AO951" s="4"/>
      <c r="AP951" s="4"/>
      <c r="AQ951" s="4"/>
      <c r="AR951" s="4"/>
      <c r="AS951" s="4"/>
      <c r="AT951" s="4"/>
      <c r="AU951" s="4"/>
      <c r="AV951" s="4"/>
      <c r="AW951" s="4"/>
      <c r="AX951" s="4"/>
      <c r="AY951" s="4"/>
      <c r="AZ951" s="4"/>
      <c r="BA951" s="4"/>
      <c r="BB951" s="4"/>
      <c r="BC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c r="AG952" s="4"/>
      <c r="AH952" s="4"/>
      <c r="AI952" s="4"/>
      <c r="AJ952" s="4"/>
      <c r="AK952" s="4"/>
      <c r="AL952" s="4"/>
      <c r="AM952" s="4"/>
      <c r="AN952" s="4"/>
      <c r="AO952" s="4"/>
      <c r="AP952" s="4"/>
      <c r="AQ952" s="4"/>
      <c r="AR952" s="4"/>
      <c r="AS952" s="4"/>
      <c r="AT952" s="4"/>
      <c r="AU952" s="4"/>
      <c r="AV952" s="4"/>
      <c r="AW952" s="4"/>
      <c r="AX952" s="4"/>
      <c r="AY952" s="4"/>
      <c r="AZ952" s="4"/>
      <c r="BA952" s="4"/>
      <c r="BB952" s="4"/>
      <c r="BC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c r="AG953" s="4"/>
      <c r="AH953" s="4"/>
      <c r="AI953" s="4"/>
      <c r="AJ953" s="4"/>
      <c r="AK953" s="4"/>
      <c r="AL953" s="4"/>
      <c r="AM953" s="4"/>
      <c r="AN953" s="4"/>
      <c r="AO953" s="4"/>
      <c r="AP953" s="4"/>
      <c r="AQ953" s="4"/>
      <c r="AR953" s="4"/>
      <c r="AS953" s="4"/>
      <c r="AT953" s="4"/>
      <c r="AU953" s="4"/>
      <c r="AV953" s="4"/>
      <c r="AW953" s="4"/>
      <c r="AX953" s="4"/>
      <c r="AY953" s="4"/>
      <c r="AZ953" s="4"/>
      <c r="BA953" s="4"/>
      <c r="BB953" s="4"/>
      <c r="BC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c r="AG954" s="4"/>
      <c r="AH954" s="4"/>
      <c r="AI954" s="4"/>
      <c r="AJ954" s="4"/>
      <c r="AK954" s="4"/>
      <c r="AL954" s="4"/>
      <c r="AM954" s="4"/>
      <c r="AN954" s="4"/>
      <c r="AO954" s="4"/>
      <c r="AP954" s="4"/>
      <c r="AQ954" s="4"/>
      <c r="AR954" s="4"/>
      <c r="AS954" s="4"/>
      <c r="AT954" s="4"/>
      <c r="AU954" s="4"/>
      <c r="AV954" s="4"/>
      <c r="AW954" s="4"/>
      <c r="AX954" s="4"/>
      <c r="AY954" s="4"/>
      <c r="AZ954" s="4"/>
      <c r="BA954" s="4"/>
      <c r="BB954" s="4"/>
      <c r="BC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c r="AG955" s="4"/>
      <c r="AH955" s="4"/>
      <c r="AI955" s="4"/>
      <c r="AJ955" s="4"/>
      <c r="AK955" s="4"/>
      <c r="AL955" s="4"/>
      <c r="AM955" s="4"/>
      <c r="AN955" s="4"/>
      <c r="AO955" s="4"/>
      <c r="AP955" s="4"/>
      <c r="AQ955" s="4"/>
      <c r="AR955" s="4"/>
      <c r="AS955" s="4"/>
      <c r="AT955" s="4"/>
      <c r="AU955" s="4"/>
      <c r="AV955" s="4"/>
      <c r="AW955" s="4"/>
      <c r="AX955" s="4"/>
      <c r="AY955" s="4"/>
      <c r="AZ955" s="4"/>
      <c r="BA955" s="4"/>
      <c r="BB955" s="4"/>
      <c r="BC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c r="AG956" s="4"/>
      <c r="AH956" s="4"/>
      <c r="AI956" s="4"/>
      <c r="AJ956" s="4"/>
      <c r="AK956" s="4"/>
      <c r="AL956" s="4"/>
      <c r="AM956" s="4"/>
      <c r="AN956" s="4"/>
      <c r="AO956" s="4"/>
      <c r="AP956" s="4"/>
      <c r="AQ956" s="4"/>
      <c r="AR956" s="4"/>
      <c r="AS956" s="4"/>
      <c r="AT956" s="4"/>
      <c r="AU956" s="4"/>
      <c r="AV956" s="4"/>
      <c r="AW956" s="4"/>
      <c r="AX956" s="4"/>
      <c r="AY956" s="4"/>
      <c r="AZ956" s="4"/>
      <c r="BA956" s="4"/>
      <c r="BB956" s="4"/>
      <c r="BC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c r="AG957" s="4"/>
      <c r="AH957" s="4"/>
      <c r="AI957" s="4"/>
      <c r="AJ957" s="4"/>
      <c r="AK957" s="4"/>
      <c r="AL957" s="4"/>
      <c r="AM957" s="4"/>
      <c r="AN957" s="4"/>
      <c r="AO957" s="4"/>
      <c r="AP957" s="4"/>
      <c r="AQ957" s="4"/>
      <c r="AR957" s="4"/>
      <c r="AS957" s="4"/>
      <c r="AT957" s="4"/>
      <c r="AU957" s="4"/>
      <c r="AV957" s="4"/>
      <c r="AW957" s="4"/>
      <c r="AX957" s="4"/>
      <c r="AY957" s="4"/>
      <c r="AZ957" s="4"/>
      <c r="BA957" s="4"/>
      <c r="BB957" s="4"/>
      <c r="BC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c r="AG958" s="4"/>
      <c r="AH958" s="4"/>
      <c r="AI958" s="4"/>
      <c r="AJ958" s="4"/>
      <c r="AK958" s="4"/>
      <c r="AL958" s="4"/>
      <c r="AM958" s="4"/>
      <c r="AN958" s="4"/>
      <c r="AO958" s="4"/>
      <c r="AP958" s="4"/>
      <c r="AQ958" s="4"/>
      <c r="AR958" s="4"/>
      <c r="AS958" s="4"/>
      <c r="AT958" s="4"/>
      <c r="AU958" s="4"/>
      <c r="AV958" s="4"/>
      <c r="AW958" s="4"/>
      <c r="AX958" s="4"/>
      <c r="AY958" s="4"/>
      <c r="AZ958" s="4"/>
      <c r="BA958" s="4"/>
      <c r="BB958" s="4"/>
      <c r="BC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c r="AG959" s="4"/>
      <c r="AH959" s="4"/>
      <c r="AI959" s="4"/>
      <c r="AJ959" s="4"/>
      <c r="AK959" s="4"/>
      <c r="AL959" s="4"/>
      <c r="AM959" s="4"/>
      <c r="AN959" s="4"/>
      <c r="AO959" s="4"/>
      <c r="AP959" s="4"/>
      <c r="AQ959" s="4"/>
      <c r="AR959" s="4"/>
      <c r="AS959" s="4"/>
      <c r="AT959" s="4"/>
      <c r="AU959" s="4"/>
      <c r="AV959" s="4"/>
      <c r="AW959" s="4"/>
      <c r="AX959" s="4"/>
      <c r="AY959" s="4"/>
      <c r="AZ959" s="4"/>
      <c r="BA959" s="4"/>
      <c r="BB959" s="4"/>
      <c r="BC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c r="AG960" s="4"/>
      <c r="AH960" s="4"/>
      <c r="AI960" s="4"/>
      <c r="AJ960" s="4"/>
      <c r="AK960" s="4"/>
      <c r="AL960" s="4"/>
      <c r="AM960" s="4"/>
      <c r="AN960" s="4"/>
      <c r="AO960" s="4"/>
      <c r="AP960" s="4"/>
      <c r="AQ960" s="4"/>
      <c r="AR960" s="4"/>
      <c r="AS960" s="4"/>
      <c r="AT960" s="4"/>
      <c r="AU960" s="4"/>
      <c r="AV960" s="4"/>
      <c r="AW960" s="4"/>
      <c r="AX960" s="4"/>
      <c r="AY960" s="4"/>
      <c r="AZ960" s="4"/>
      <c r="BA960" s="4"/>
      <c r="BB960" s="4"/>
      <c r="BC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c r="AG961" s="4"/>
      <c r="AH961" s="4"/>
      <c r="AI961" s="4"/>
      <c r="AJ961" s="4"/>
      <c r="AK961" s="4"/>
      <c r="AL961" s="4"/>
      <c r="AM961" s="4"/>
      <c r="AN961" s="4"/>
      <c r="AO961" s="4"/>
      <c r="AP961" s="4"/>
      <c r="AQ961" s="4"/>
      <c r="AR961" s="4"/>
      <c r="AS961" s="4"/>
      <c r="AT961" s="4"/>
      <c r="AU961" s="4"/>
      <c r="AV961" s="4"/>
      <c r="AW961" s="4"/>
      <c r="AX961" s="4"/>
      <c r="AY961" s="4"/>
      <c r="AZ961" s="4"/>
      <c r="BA961" s="4"/>
      <c r="BB961" s="4"/>
      <c r="BC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c r="AG962" s="4"/>
      <c r="AH962" s="4"/>
      <c r="AI962" s="4"/>
      <c r="AJ962" s="4"/>
      <c r="AK962" s="4"/>
      <c r="AL962" s="4"/>
      <c r="AM962" s="4"/>
      <c r="AN962" s="4"/>
      <c r="AO962" s="4"/>
      <c r="AP962" s="4"/>
      <c r="AQ962" s="4"/>
      <c r="AR962" s="4"/>
      <c r="AS962" s="4"/>
      <c r="AT962" s="4"/>
      <c r="AU962" s="4"/>
      <c r="AV962" s="4"/>
      <c r="AW962" s="4"/>
      <c r="AX962" s="4"/>
      <c r="AY962" s="4"/>
      <c r="AZ962" s="4"/>
      <c r="BA962" s="4"/>
      <c r="BB962" s="4"/>
      <c r="BC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c r="AG963" s="4"/>
      <c r="AH963" s="4"/>
      <c r="AI963" s="4"/>
      <c r="AJ963" s="4"/>
      <c r="AK963" s="4"/>
      <c r="AL963" s="4"/>
      <c r="AM963" s="4"/>
      <c r="AN963" s="4"/>
      <c r="AO963" s="4"/>
      <c r="AP963" s="4"/>
      <c r="AQ963" s="4"/>
      <c r="AR963" s="4"/>
      <c r="AS963" s="4"/>
      <c r="AT963" s="4"/>
      <c r="AU963" s="4"/>
      <c r="AV963" s="4"/>
      <c r="AW963" s="4"/>
      <c r="AX963" s="4"/>
      <c r="AY963" s="4"/>
      <c r="AZ963" s="4"/>
      <c r="BA963" s="4"/>
      <c r="BB963" s="4"/>
      <c r="BC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c r="AG964" s="4"/>
      <c r="AH964" s="4"/>
      <c r="AI964" s="4"/>
      <c r="AJ964" s="4"/>
      <c r="AK964" s="4"/>
      <c r="AL964" s="4"/>
      <c r="AM964" s="4"/>
      <c r="AN964" s="4"/>
      <c r="AO964" s="4"/>
      <c r="AP964" s="4"/>
      <c r="AQ964" s="4"/>
      <c r="AR964" s="4"/>
      <c r="AS964" s="4"/>
      <c r="AT964" s="4"/>
      <c r="AU964" s="4"/>
      <c r="AV964" s="4"/>
      <c r="AW964" s="4"/>
      <c r="AX964" s="4"/>
      <c r="AY964" s="4"/>
      <c r="AZ964" s="4"/>
      <c r="BA964" s="4"/>
      <c r="BB964" s="4"/>
      <c r="BC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c r="AG965" s="4"/>
      <c r="AH965" s="4"/>
      <c r="AI965" s="4"/>
      <c r="AJ965" s="4"/>
      <c r="AK965" s="4"/>
      <c r="AL965" s="4"/>
      <c r="AM965" s="4"/>
      <c r="AN965" s="4"/>
      <c r="AO965" s="4"/>
      <c r="AP965" s="4"/>
      <c r="AQ965" s="4"/>
      <c r="AR965" s="4"/>
      <c r="AS965" s="4"/>
      <c r="AT965" s="4"/>
      <c r="AU965" s="4"/>
      <c r="AV965" s="4"/>
      <c r="AW965" s="4"/>
      <c r="AX965" s="4"/>
      <c r="AY965" s="4"/>
      <c r="AZ965" s="4"/>
      <c r="BA965" s="4"/>
      <c r="BB965" s="4"/>
      <c r="BC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c r="AG966" s="4"/>
      <c r="AH966" s="4"/>
      <c r="AI966" s="4"/>
      <c r="AJ966" s="4"/>
      <c r="AK966" s="4"/>
      <c r="AL966" s="4"/>
      <c r="AM966" s="4"/>
      <c r="AN966" s="4"/>
      <c r="AO966" s="4"/>
      <c r="AP966" s="4"/>
      <c r="AQ966" s="4"/>
      <c r="AR966" s="4"/>
      <c r="AS966" s="4"/>
      <c r="AT966" s="4"/>
      <c r="AU966" s="4"/>
      <c r="AV966" s="4"/>
      <c r="AW966" s="4"/>
      <c r="AX966" s="4"/>
      <c r="AY966" s="4"/>
      <c r="AZ966" s="4"/>
      <c r="BA966" s="4"/>
      <c r="BB966" s="4"/>
      <c r="BC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c r="AG967" s="4"/>
      <c r="AH967" s="4"/>
      <c r="AI967" s="4"/>
      <c r="AJ967" s="4"/>
      <c r="AK967" s="4"/>
      <c r="AL967" s="4"/>
      <c r="AM967" s="4"/>
      <c r="AN967" s="4"/>
      <c r="AO967" s="4"/>
      <c r="AP967" s="4"/>
      <c r="AQ967" s="4"/>
      <c r="AR967" s="4"/>
      <c r="AS967" s="4"/>
      <c r="AT967" s="4"/>
      <c r="AU967" s="4"/>
      <c r="AV967" s="4"/>
      <c r="AW967" s="4"/>
      <c r="AX967" s="4"/>
      <c r="AY967" s="4"/>
      <c r="AZ967" s="4"/>
      <c r="BA967" s="4"/>
      <c r="BB967" s="4"/>
      <c r="BC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c r="AG968" s="4"/>
      <c r="AH968" s="4"/>
      <c r="AI968" s="4"/>
      <c r="AJ968" s="4"/>
      <c r="AK968" s="4"/>
      <c r="AL968" s="4"/>
      <c r="AM968" s="4"/>
      <c r="AN968" s="4"/>
      <c r="AO968" s="4"/>
      <c r="AP968" s="4"/>
      <c r="AQ968" s="4"/>
      <c r="AR968" s="4"/>
      <c r="AS968" s="4"/>
      <c r="AT968" s="4"/>
      <c r="AU968" s="4"/>
      <c r="AV968" s="4"/>
      <c r="AW968" s="4"/>
      <c r="AX968" s="4"/>
      <c r="AY968" s="4"/>
      <c r="AZ968" s="4"/>
      <c r="BA968" s="4"/>
      <c r="BB968" s="4"/>
      <c r="BC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c r="AG969" s="4"/>
      <c r="AH969" s="4"/>
      <c r="AI969" s="4"/>
      <c r="AJ969" s="4"/>
      <c r="AK969" s="4"/>
      <c r="AL969" s="4"/>
      <c r="AM969" s="4"/>
      <c r="AN969" s="4"/>
      <c r="AO969" s="4"/>
      <c r="AP969" s="4"/>
      <c r="AQ969" s="4"/>
      <c r="AR969" s="4"/>
      <c r="AS969" s="4"/>
      <c r="AT969" s="4"/>
      <c r="AU969" s="4"/>
      <c r="AV969" s="4"/>
      <c r="AW969" s="4"/>
      <c r="AX969" s="4"/>
      <c r="AY969" s="4"/>
      <c r="AZ969" s="4"/>
      <c r="BA969" s="4"/>
      <c r="BB969" s="4"/>
      <c r="BC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c r="AG970" s="4"/>
      <c r="AH970" s="4"/>
      <c r="AI970" s="4"/>
      <c r="AJ970" s="4"/>
      <c r="AK970" s="4"/>
      <c r="AL970" s="4"/>
      <c r="AM970" s="4"/>
      <c r="AN970" s="4"/>
      <c r="AO970" s="4"/>
      <c r="AP970" s="4"/>
      <c r="AQ970" s="4"/>
      <c r="AR970" s="4"/>
      <c r="AS970" s="4"/>
      <c r="AT970" s="4"/>
      <c r="AU970" s="4"/>
      <c r="AV970" s="4"/>
      <c r="AW970" s="4"/>
      <c r="AX970" s="4"/>
      <c r="AY970" s="4"/>
      <c r="AZ970" s="4"/>
      <c r="BA970" s="4"/>
      <c r="BB970" s="4"/>
      <c r="BC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c r="AG971" s="4"/>
      <c r="AH971" s="4"/>
      <c r="AI971" s="4"/>
      <c r="AJ971" s="4"/>
      <c r="AK971" s="4"/>
      <c r="AL971" s="4"/>
      <c r="AM971" s="4"/>
      <c r="AN971" s="4"/>
      <c r="AO971" s="4"/>
      <c r="AP971" s="4"/>
      <c r="AQ971" s="4"/>
      <c r="AR971" s="4"/>
      <c r="AS971" s="4"/>
      <c r="AT971" s="4"/>
      <c r="AU971" s="4"/>
      <c r="AV971" s="4"/>
      <c r="AW971" s="4"/>
      <c r="AX971" s="4"/>
      <c r="AY971" s="4"/>
      <c r="AZ971" s="4"/>
      <c r="BA971" s="4"/>
      <c r="BB971" s="4"/>
      <c r="BC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c r="AG972" s="4"/>
      <c r="AH972" s="4"/>
      <c r="AI972" s="4"/>
      <c r="AJ972" s="4"/>
      <c r="AK972" s="4"/>
      <c r="AL972" s="4"/>
      <c r="AM972" s="4"/>
      <c r="AN972" s="4"/>
      <c r="AO972" s="4"/>
      <c r="AP972" s="4"/>
      <c r="AQ972" s="4"/>
      <c r="AR972" s="4"/>
      <c r="AS972" s="4"/>
      <c r="AT972" s="4"/>
      <c r="AU972" s="4"/>
      <c r="AV972" s="4"/>
      <c r="AW972" s="4"/>
      <c r="AX972" s="4"/>
      <c r="AY972" s="4"/>
      <c r="AZ972" s="4"/>
      <c r="BA972" s="4"/>
      <c r="BB972" s="4"/>
      <c r="BC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c r="AG973" s="4"/>
      <c r="AH973" s="4"/>
      <c r="AI973" s="4"/>
      <c r="AJ973" s="4"/>
      <c r="AK973" s="4"/>
      <c r="AL973" s="4"/>
      <c r="AM973" s="4"/>
      <c r="AN973" s="4"/>
      <c r="AO973" s="4"/>
      <c r="AP973" s="4"/>
      <c r="AQ973" s="4"/>
      <c r="AR973" s="4"/>
      <c r="AS973" s="4"/>
      <c r="AT973" s="4"/>
      <c r="AU973" s="4"/>
      <c r="AV973" s="4"/>
      <c r="AW973" s="4"/>
      <c r="AX973" s="4"/>
      <c r="AY973" s="4"/>
      <c r="AZ973" s="4"/>
      <c r="BA973" s="4"/>
      <c r="BB973" s="4"/>
      <c r="BC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c r="AG974" s="4"/>
      <c r="AH974" s="4"/>
      <c r="AI974" s="4"/>
      <c r="AJ974" s="4"/>
      <c r="AK974" s="4"/>
      <c r="AL974" s="4"/>
      <c r="AM974" s="4"/>
      <c r="AN974" s="4"/>
      <c r="AO974" s="4"/>
      <c r="AP974" s="4"/>
      <c r="AQ974" s="4"/>
      <c r="AR974" s="4"/>
      <c r="AS974" s="4"/>
      <c r="AT974" s="4"/>
      <c r="AU974" s="4"/>
      <c r="AV974" s="4"/>
      <c r="AW974" s="4"/>
      <c r="AX974" s="4"/>
      <c r="AY974" s="4"/>
      <c r="AZ974" s="4"/>
      <c r="BA974" s="4"/>
      <c r="BB974" s="4"/>
      <c r="BC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c r="AG975" s="4"/>
      <c r="AH975" s="4"/>
      <c r="AI975" s="4"/>
      <c r="AJ975" s="4"/>
      <c r="AK975" s="4"/>
      <c r="AL975" s="4"/>
      <c r="AM975" s="4"/>
      <c r="AN975" s="4"/>
      <c r="AO975" s="4"/>
      <c r="AP975" s="4"/>
      <c r="AQ975" s="4"/>
      <c r="AR975" s="4"/>
      <c r="AS975" s="4"/>
      <c r="AT975" s="4"/>
      <c r="AU975" s="4"/>
      <c r="AV975" s="4"/>
      <c r="AW975" s="4"/>
      <c r="AX975" s="4"/>
      <c r="AY975" s="4"/>
      <c r="AZ975" s="4"/>
      <c r="BA975" s="4"/>
      <c r="BB975" s="4"/>
      <c r="BC975"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tr">
        <f>IFERROR(__xludf.DUMMYFUNCTION("QUERY(Sheet1!A:BC, ""SELECT A, B, W, AO WHERE AL = 'PUBLISH_ANON'"", 1)"),"timestamp")</f>
        <v>timestamp</v>
      </c>
      <c r="B1" s="6" t="str">
        <f>IFERROR(__xludf.DUMMYFUNCTION("""COMPUTED_VALUE"""),"log_id")</f>
        <v>log_id</v>
      </c>
      <c r="C1" s="6" t="str">
        <f>IFERROR(__xludf.DUMMYFUNCTION("""COMPUTED_VALUE"""),"narrative")</f>
        <v>narrative</v>
      </c>
      <c r="D1" s="6" t="str">
        <f>IFERROR(__xludf.DUMMYFUNCTION("""COMPUTED_VALUE"""),"location_specific")</f>
        <v>location_specific</v>
      </c>
    </row>
    <row r="2">
      <c r="A2" s="7">
        <f>IFERROR(__xludf.DUMMYFUNCTION("""COMPUTED_VALUE"""),46026.0)</f>
        <v>46026</v>
      </c>
      <c r="B2" s="6" t="str">
        <f>IFERROR(__xludf.DUMMYFUNCTION("""COMPUTED_VALUE"""),"CASE-47528")</f>
        <v>CASE-47528</v>
      </c>
      <c r="C2" s="6" t="str">
        <f>IFERROR(__xludf.DUMMYFUNCTION("""COMPUTED_VALUE"""),"March 24th, 2023 - I visited The Brick Saloon with a group of ~10 other women as part of a bachelorette weekend. It was in the evening around 7-8pm, one half of the building was the original bar area and the other was a stage with live band playing and da"&amp;"ncefloor. One of the employees asked if we wanted to see the basement which was the former jail for the town, we agreed and they brought us downstairs. It was open to the entire floorplan of the main building, with a few gated cells on the nearest side an"&amp;"d foundation pilings throughout the rest. It was pretty much a giant supply room, mostly cleaning and barware but more thrifty/antique items toward the rear of the building. The employee mentioned hearing laughter sometimes when he was downstairs alone, I"&amp;" was a little curious so myself and another girl went further back away from the rest of the group to explore.
She and I split up towards the back of the large room. I turned a corner around a foundation footing and saw what looked like a rectangular m"&amp;"irror leaning against the wall to my right. It was about 6x3 ft similar to a dressing room door mirror. As I walked forward I turned towards it to see my reflection, but it only showed the wall opposite me. I was a little panicked and surprised, so I call"&amp;"ed for my friend who had followed me away from the group. When she stepped in front of it she also did not appear. We waved our arms, changed angles, nothing. Finally, I reached out to touch it and felt nothing but air. It was an opening in the foundation"&amp;" footing that looked like a mirror image of the opposite side, and something about it gave the appearance of a tall narrow mirror leaning against a wall somehow.
Since it was with a bachelorette group at a bar, I feel that I should add that it was our "&amp;"first stop of the night on a Friday evening. I had 2 light beers as a quick ""pregame"" at the rental house after arriving from Seattle, before our drive from Suncadia (Cle Elum) to Roslyn. I also VERY regularly smoke and vape cannabis so that was involve"&amp;"d as well. None of this is out of the ordinary for me by any means (basically any given Tuesday) and I am very confident in saying that it had little to no effect on my experience. Especially given that it was a shared experience, and had been my only par"&amp;"anormal experience at the time. ")</f>
        <v>March 24th, 2023 - I visited The Brick Saloon with a group of ~10 other women as part of a bachelorette weekend. It was in the evening around 7-8pm, one half of the building was the original bar area and the other was a stage with live band playing and dancefloor. One of the employees asked if we wanted to see the basement which was the former jail for the town, we agreed and they brought us downstairs. It was open to the entire floorplan of the main building, with a few gated cells on the nearest side and foundation pilings throughout the rest. It was pretty much a giant supply room, mostly cleaning and barware but more thrifty/antique items toward the rear of the building. The employee mentioned hearing laughter sometimes when he was downstairs alone, I was a little curious so myself and another girl went further back away from the rest of the group to explore.
She and I split up towards the back of the large room. I turned a corner around a foundation footing and saw what looked like a rectangular mirror leaning against the wall to my right. It was about 6x3 ft similar to a dressing room door mirror. As I walked forward I turned towards it to see my reflection, but it only showed the wall opposite me. I was a little panicked and surprised, so I called for my friend who had followed me away from the group. When she stepped in front of it she also did not appear. We waved our arms, changed angles, nothing. Finally, I reached out to touch it and felt nothing but air. It was an opening in the foundation footing that looked like a mirror image of the opposite side, and something about it gave the appearance of a tall narrow mirror leaning against a wall somehow.
Since it was with a bachelorette group at a bar, I feel that I should add that it was our first stop of the night on a Friday evening. I had 2 light beers as a quick "pregame" at the rental house after arriving from Seattle, before our drive from Suncadia (Cle Elum) to Roslyn. I also VERY regularly smoke and vape cannabis so that was involved as well. None of this is out of the ordinary for me by any means (basically any given Tuesday) and I am very confident in saying that it had little to no effect on my experience. Especially given that it was a shared experience, and had been my only paranormal experience at the time. </v>
      </c>
      <c r="D2" s="6" t="str">
        <f>IFERROR(__xludf.DUMMYFUNCTION("""COMPUTED_VALUE"""),"The Brick Saloon in Roslyn WA, basement")</f>
        <v>The Brick Saloon in Roslyn WA, basement</v>
      </c>
    </row>
    <row r="3">
      <c r="A3" s="7">
        <f>IFERROR(__xludf.DUMMYFUNCTION("""COMPUTED_VALUE"""),46026.0)</f>
        <v>46026</v>
      </c>
      <c r="B3" s="6" t="str">
        <f>IFERROR(__xludf.DUMMYFUNCTION("""COMPUTED_VALUE"""),"CASE-75731")</f>
        <v>CASE-75731</v>
      </c>
      <c r="C3" s="6" t="str">
        <f>IFERROR(__xludf.DUMMYFUNCTION("""COMPUTED_VALUE"""),"I was driving home late at night along a very familiar route. A section of this route ""repeated"" several minutes after I'd already driven through. The total drive took the same amount of time as usual, but my car displays ""trip information"" on the das"&amp;"h and the distance driven was about 5 miles too far.")</f>
        <v>I was driving home late at night along a very familiar route. A section of this route "repeated" several minutes after I'd already driven through. The total drive took the same amount of time as usual, but my car displays "trip information" on the dash and the distance driven was about 5 miles too far.</v>
      </c>
      <c r="D3" s="6"/>
    </row>
    <row r="4">
      <c r="A4" s="7">
        <f>IFERROR(__xludf.DUMMYFUNCTION("""COMPUTED_VALUE"""),46026.0)</f>
        <v>46026</v>
      </c>
      <c r="B4" s="6" t="str">
        <f>IFERROR(__xludf.DUMMYFUNCTION("""COMPUTED_VALUE"""),"CASE-96915")</f>
        <v>CASE-96915</v>
      </c>
      <c r="C4" s="6" t="str">
        <f>IFERROR(__xludf.DUMMYFUNCTION("""COMPUTED_VALUE"""),"Time stopped but music blared. When the song ended and the next began, time resumed. Inbetween was chaos and the other side was normality yet again as if nothing at all had happened.  ")</f>
        <v>Time stopped but music blared. When the song ended and the next began, time resumed. Inbetween was chaos and the other side was normality yet again as if nothing at all had happened.  </v>
      </c>
      <c r="D4" s="6" t="str">
        <f>IFERROR(__xludf.DUMMYFUNCTION("""COMPUTED_VALUE"""),"Seattle-ish")</f>
        <v>Seattle-ish</v>
      </c>
    </row>
  </sheetData>
  <drawing r:id="rId1"/>
</worksheet>
</file>